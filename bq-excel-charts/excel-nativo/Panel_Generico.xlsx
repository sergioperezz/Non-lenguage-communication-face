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Grupo_Rendimiento">Listas!$A$2:$A$3</definedName>
    <definedName name="Grupo_Riesgo">Listas!$B$2:$B$6</definedName>
    <definedName name="Grupo_Composicion">Listas!$C$2:$C$2</definedName>
    <definedName name="Grupo_Costes">Listas!$D$2:$D$2</definedName>
    <definedName name="Grupo_Liquidez">Listas!$E$2:$E$2</definedName>
    <definedName name="Grupo_Valoracion">Listas!$F$2:$F$3</definedName>
    <definedName name="Cat_Mensual">Listas!$G$2:$G$37</definedName>
    <definedName name="Cat_Trimestral">Listas!$H$2:$H$13</definedName>
    <definedName name="Cat_Semestral">Listas!$I$2:$I$7</definedName>
    <definedName name="Cat_Anual">Listas!$J$2:$J$4</definedName>
    <definedName name="Cat_Activo">Listas!$K$2:$K$6</definedName>
    <definedName name="Cat_Geografia">Listas!$L$2:$L$6</definedName>
    <definedName name="Cat_Industria">Listas!$M$2:$M$8</definedName>
    <definedName name="Cat_Sector">Listas!$N$2:$N$7</definedName>
    <definedName name="Cat_Divisa">Listas!$O$2:$O$7</definedName>
    <definedName name="Cat_Rating">Listas!$P$2:$P$7</definedName>
    <definedName name="Periodos">Listas!$R$2:$R$7</definedName>
    <definedName name="DimTiempo">Listas!$S$2:$S$5</definedName>
    <definedName name="TablaN">Listas!$T$2:$W$7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Fondo / Cartera</t>
        </is>
      </c>
      <c r="B3" s="4" t="inlineStr">
        <is>
          <t>Mixto Moderado</t>
        </is>
      </c>
      <c r="D3">
        <f>IF((ROW()-2)&gt;$B$12,"",INDEX(INDIRECT("Cat_"&amp;$B$6),COUNTA(INDIRECT("Cat_"&amp;$B$6))-$B$12+(ROW()-2)))</f>
        <v/>
      </c>
      <c r="E3">
        <f>IF($D3="","",SUMIFS(Datos!$G$2:$G$8833,Datos!$A$2:$A$8833,$B$3,Datos!$B$2:$B$8833,$B$13,Datos!$C$2:$C$8833,$B$5,Datos!$D$2:$D$8833,$B$6,Datos!$E$2:$E$8833,$D3,Datos!$F$2:$F$8833,"Cartera"))</f>
        <v/>
      </c>
      <c r="F3">
        <f>IF(OR($B$9="Sin benchmark",$D3=""),"",SUMIFS(Datos!$G$2:$G$8833,Datos!$A$2:$A$8833,$B$3,Datos!$B$2:$B$8833,$B$13,Datos!$C$2:$C$8833,$B$5,Datos!$D$2:$D$8833,$B$6,Datos!$E$2:$E$8833,$D3,Datos!$F$2:$F$8833,"Benchmark"))</f>
        <v/>
      </c>
    </row>
    <row r="4">
      <c r="A4" s="3" t="inlineStr">
        <is>
          <t>Grupo de métrica</t>
        </is>
      </c>
      <c r="B4" s="4" t="inlineStr">
        <is>
          <t>Riesgo</t>
        </is>
      </c>
      <c r="D4">
        <f>IF((ROW()-2)&gt;$B$12,"",INDEX(INDIRECT("Cat_"&amp;$B$6),COUNTA(INDIRECT("Cat_"&amp;$B$6))-$B$12+(ROW()-2)))</f>
        <v/>
      </c>
      <c r="E4">
        <f>IF($D4="","",SUMIFS(Datos!$G$2:$G$8833,Datos!$A$2:$A$8833,$B$3,Datos!$B$2:$B$8833,$B$13,Datos!$C$2:$C$8833,$B$5,Datos!$D$2:$D$8833,$B$6,Datos!$E$2:$E$8833,$D4,Datos!$F$2:$F$8833,"Cartera"))</f>
        <v/>
      </c>
      <c r="F4">
        <f>IF(OR($B$9="Sin benchmark",$D4=""),"",SUMIFS(Datos!$G$2:$G$8833,Datos!$A$2:$A$8833,$B$3,Datos!$B$2:$B$8833,$B$13,Datos!$C$2:$C$8833,$B$5,Datos!$D$2:$D$8833,$B$6,Datos!$E$2:$E$8833,$D4,Datos!$F$2:$F$8833,"Benchmark"))</f>
        <v/>
      </c>
    </row>
    <row r="5">
      <c r="A5" s="3" t="inlineStr">
        <is>
          <t>Métrica</t>
        </is>
      </c>
      <c r="B5" s="4" t="inlineStr">
        <is>
          <t>Duración</t>
        </is>
      </c>
      <c r="D5">
        <f>IF((ROW()-2)&gt;$B$12,"",INDEX(INDIRECT("Cat_"&amp;$B$6),COUNTA(INDIRECT("Cat_"&amp;$B$6))-$B$12+(ROW()-2)))</f>
        <v/>
      </c>
      <c r="E5">
        <f>IF($D5="","",SUMIFS(Datos!$G$2:$G$8833,Datos!$A$2:$A$8833,$B$3,Datos!$B$2:$B$8833,$B$13,Datos!$C$2:$C$8833,$B$5,Datos!$D$2:$D$8833,$B$6,Datos!$E$2:$E$8833,$D5,Datos!$F$2:$F$8833,"Cartera"))</f>
        <v/>
      </c>
      <c r="F5">
        <f>IF(OR($B$9="Sin benchmark",$D5=""),"",SUMIFS(Datos!$G$2:$G$8833,Datos!$A$2:$A$8833,$B$3,Datos!$B$2:$B$8833,$B$13,Datos!$C$2:$C$8833,$B$5,Datos!$D$2:$D$8833,$B$6,Datos!$E$2:$E$8833,$D5,Datos!$F$2:$F$8833,"Benchmark"))</f>
        <v/>
      </c>
    </row>
    <row r="6">
      <c r="A6" s="3" t="inlineStr">
        <is>
          <t>Dimensión (eje X)</t>
        </is>
      </c>
      <c r="B6" s="4" t="inlineStr">
        <is>
          <t>Trimestral</t>
        </is>
      </c>
      <c r="D6">
        <f>IF((ROW()-2)&gt;$B$12,"",INDEX(INDIRECT("Cat_"&amp;$B$6),COUNTA(INDIRECT("Cat_"&amp;$B$6))-$B$12+(ROW()-2)))</f>
        <v/>
      </c>
      <c r="E6">
        <f>IF($D6="","",SUMIFS(Datos!$G$2:$G$8833,Datos!$A$2:$A$8833,$B$3,Datos!$B$2:$B$8833,$B$13,Datos!$C$2:$C$8833,$B$5,Datos!$D$2:$D$8833,$B$6,Datos!$E$2:$E$8833,$D6,Datos!$F$2:$F$8833,"Cartera"))</f>
        <v/>
      </c>
      <c r="F6">
        <f>IF(OR($B$9="Sin benchmark",$D6=""),"",SUMIFS(Datos!$G$2:$G$8833,Datos!$A$2:$A$8833,$B$3,Datos!$B$2:$B$8833,$B$13,Datos!$C$2:$C$8833,$B$5,Datos!$D$2:$D$8833,$B$6,Datos!$E$2:$E$8833,$D6,Datos!$F$2:$F$8833,"Benchmark"))</f>
        <v/>
      </c>
    </row>
    <row r="7">
      <c r="A7" s="3" t="inlineStr">
        <is>
          <t>Filtro: tipo de activo</t>
        </is>
      </c>
      <c r="B7" s="4" t="inlineStr">
        <is>
          <t>Todos</t>
        </is>
      </c>
      <c r="D7">
        <f>IF((ROW()-2)&gt;$B$12,"",INDEX(INDIRECT("Cat_"&amp;$B$6),COUNTA(INDIRECT("Cat_"&amp;$B$6))-$B$12+(ROW()-2)))</f>
        <v/>
      </c>
      <c r="E7">
        <f>IF($D7="","",SUMIFS(Datos!$G$2:$G$8833,Datos!$A$2:$A$8833,$B$3,Datos!$B$2:$B$8833,$B$13,Datos!$C$2:$C$8833,$B$5,Datos!$D$2:$D$8833,$B$6,Datos!$E$2:$E$8833,$D7,Datos!$F$2:$F$8833,"Cartera"))</f>
        <v/>
      </c>
      <c r="F7">
        <f>IF(OR($B$9="Sin benchmark",$D7=""),"",SUMIFS(Datos!$G$2:$G$8833,Datos!$A$2:$A$8833,$B$3,Datos!$B$2:$B$8833,$B$13,Datos!$C$2:$C$8833,$B$5,Datos!$D$2:$D$8833,$B$6,Datos!$E$2:$E$8833,$D7,Datos!$F$2:$F$8833,"Benchmark"))</f>
        <v/>
      </c>
    </row>
    <row r="8">
      <c r="A8" s="3" t="inlineStr">
        <is>
          <t>Periodo</t>
        </is>
      </c>
      <c r="B8" s="4" t="inlineStr">
        <is>
          <t>3A</t>
        </is>
      </c>
      <c r="D8">
        <f>IF((ROW()-2)&gt;$B$12,"",INDEX(INDIRECT("Cat_"&amp;$B$6),COUNTA(INDIRECT("Cat_"&amp;$B$6))-$B$12+(ROW()-2)))</f>
        <v/>
      </c>
      <c r="E8">
        <f>IF($D8="","",SUMIFS(Datos!$G$2:$G$8833,Datos!$A$2:$A$8833,$B$3,Datos!$B$2:$B$8833,$B$13,Datos!$C$2:$C$8833,$B$5,Datos!$D$2:$D$8833,$B$6,Datos!$E$2:$E$8833,$D8,Datos!$F$2:$F$8833,"Cartera"))</f>
        <v/>
      </c>
      <c r="F8">
        <f>IF(OR($B$9="Sin benchmark",$D8=""),"",SUMIFS(Datos!$G$2:$G$8833,Datos!$A$2:$A$8833,$B$3,Datos!$B$2:$B$8833,$B$13,Datos!$C$2:$C$8833,$B$5,Datos!$D$2:$D$8833,$B$6,Datos!$E$2:$E$8833,$D8,Datos!$F$2:$F$8833,"Benchmark"))</f>
        <v/>
      </c>
    </row>
    <row r="9">
      <c r="A9" s="3" t="inlineStr">
        <is>
          <t>Benchmark</t>
        </is>
      </c>
      <c r="B9" s="4" t="inlineStr">
        <is>
          <t>Con benchmark</t>
        </is>
      </c>
      <c r="D9">
        <f>IF((ROW()-2)&gt;$B$12,"",INDEX(INDIRECT("Cat_"&amp;$B$6),COUNTA(INDIRECT("Cat_"&amp;$B$6))-$B$12+(ROW()-2)))</f>
        <v/>
      </c>
      <c r="E9">
        <f>IF($D9="","",SUMIFS(Datos!$G$2:$G$8833,Datos!$A$2:$A$8833,$B$3,Datos!$B$2:$B$8833,$B$13,Datos!$C$2:$C$8833,$B$5,Datos!$D$2:$D$8833,$B$6,Datos!$E$2:$E$8833,$D9,Datos!$F$2:$F$8833,"Cartera"))</f>
        <v/>
      </c>
      <c r="F9">
        <f>IF(OR($B$9="Sin benchmark",$D9=""),"",SUMIFS(Datos!$G$2:$G$8833,Datos!$A$2:$A$8833,$B$3,Datos!$B$2:$B$8833,$B$13,Datos!$C$2:$C$8833,$B$5,Datos!$D$2:$D$8833,$B$6,Datos!$E$2:$E$8833,$D9,Datos!$F$2:$F$8833,"Benchmark"))</f>
        <v/>
      </c>
    </row>
    <row r="10">
      <c r="A10" s="3" t="inlineStr">
        <is>
          <t>Tipo de gráfico</t>
        </is>
      </c>
      <c r="B10" s="4" t="inlineStr">
        <is>
          <t>Columnas</t>
        </is>
      </c>
      <c r="D10">
        <f>IF((ROW()-2)&gt;$B$12,"",INDEX(INDIRECT("Cat_"&amp;$B$6),COUNTA(INDIRECT("Cat_"&amp;$B$6))-$B$12+(ROW()-2)))</f>
        <v/>
      </c>
      <c r="E10">
        <f>IF($D10="","",SUMIFS(Datos!$G$2:$G$8833,Datos!$A$2:$A$8833,$B$3,Datos!$B$2:$B$8833,$B$13,Datos!$C$2:$C$8833,$B$5,Datos!$D$2:$D$8833,$B$6,Datos!$E$2:$E$8833,$D10,Datos!$F$2:$F$8833,"Cartera"))</f>
        <v/>
      </c>
      <c r="F10">
        <f>IF(OR($B$9="Sin benchmark",$D10=""),"",SUMIFS(Datos!$G$2:$G$8833,Datos!$A$2:$A$8833,$B$3,Datos!$B$2:$B$8833,$B$13,Datos!$C$2:$C$8833,$B$5,Datos!$D$2:$D$8833,$B$6,Datos!$E$2:$E$8833,$D10,Datos!$F$2:$F$8833,"Benchmark"))</f>
        <v/>
      </c>
    </row>
    <row r="11">
      <c r="D11">
        <f>IF((ROW()-2)&gt;$B$12,"",INDEX(INDIRECT("Cat_"&amp;$B$6),COUNTA(INDIRECT("Cat_"&amp;$B$6))-$B$12+(ROW()-2)))</f>
        <v/>
      </c>
      <c r="E11">
        <f>IF($D11="","",SUMIFS(Datos!$G$2:$G$8833,Datos!$A$2:$A$8833,$B$3,Datos!$B$2:$B$8833,$B$13,Datos!$C$2:$C$8833,$B$5,Datos!$D$2:$D$8833,$B$6,Datos!$E$2:$E$8833,$D11,Datos!$F$2:$F$8833,"Cartera"))</f>
        <v/>
      </c>
      <c r="F11">
        <f>IF(OR($B$9="Sin benchmark",$D11=""),"",SUMIFS(Datos!$G$2:$G$8833,Datos!$A$2:$A$8833,$B$3,Datos!$B$2:$B$8833,$B$13,Datos!$C$2:$C$8833,$B$5,Datos!$D$2:$D$8833,$B$6,Datos!$E$2:$E$8833,$D11,Datos!$F$2:$F$8833,"Benchmark"))</f>
        <v/>
      </c>
    </row>
    <row r="12">
      <c r="A12" s="5" t="inlineStr">
        <is>
          <t>Buckets visibles</t>
        </is>
      </c>
      <c r="B12">
        <f>IFERROR(INDEX(TablaN,MATCH($B$8,Periodos,0),MATCH($B$6,DimTiempo,0)),COUNTA(INDIRECT("Cat_"&amp;$B$6)))</f>
        <v/>
      </c>
      <c r="D12">
        <f>IF((ROW()-2)&gt;$B$12,"",INDEX(INDIRECT("Cat_"&amp;$B$6),COUNTA(INDIRECT("Cat_"&amp;$B$6))-$B$12+(ROW()-2)))</f>
        <v/>
      </c>
      <c r="E12">
        <f>IF($D12="","",SUMIFS(Datos!$G$2:$G$8833,Datos!$A$2:$A$8833,$B$3,Datos!$B$2:$B$8833,$B$13,Datos!$C$2:$C$8833,$B$5,Datos!$D$2:$D$8833,$B$6,Datos!$E$2:$E$8833,$D12,Datos!$F$2:$F$8833,"Cartera"))</f>
        <v/>
      </c>
      <c r="F12">
        <f>IF(OR($B$9="Sin benchmark",$D12=""),"",SUMIFS(Datos!$G$2:$G$8833,Datos!$A$2:$A$8833,$B$3,Datos!$B$2:$B$8833,$B$13,Datos!$C$2:$C$8833,$B$5,Datos!$D$2:$D$8833,$B$6,Datos!$E$2:$E$8833,$D12,Datos!$F$2:$F$8833,"Benchmark"))</f>
        <v/>
      </c>
    </row>
    <row r="13">
      <c r="A13" s="5" t="inlineStr">
        <is>
          <t>Criterio tipo activo</t>
        </is>
      </c>
      <c r="B13">
        <f>IF($B$7="Todos","*",$B$7)</f>
        <v/>
      </c>
      <c r="D13">
        <f>IF((ROW()-2)&gt;$B$12,"",INDEX(INDIRECT("Cat_"&amp;$B$6),COUNTA(INDIRECT("Cat_"&amp;$B$6))-$B$12+(ROW()-2)))</f>
        <v/>
      </c>
      <c r="E13">
        <f>IF($D13="","",SUMIFS(Datos!$G$2:$G$8833,Datos!$A$2:$A$8833,$B$3,Datos!$B$2:$B$8833,$B$13,Datos!$C$2:$C$8833,$B$5,Datos!$D$2:$D$8833,$B$6,Datos!$E$2:$E$8833,$D13,Datos!$F$2:$F$8833,"Cartera"))</f>
        <v/>
      </c>
      <c r="F13">
        <f>IF(OR($B$9="Sin benchmark",$D13=""),"",SUMIFS(Datos!$G$2:$G$8833,Datos!$A$2:$A$8833,$B$3,Datos!$B$2:$B$8833,$B$13,Datos!$C$2:$C$8833,$B$5,Datos!$D$2:$D$8833,$B$6,Datos!$E$2:$E$8833,$D13,Datos!$F$2:$F$8833,"Benchmark"))</f>
        <v/>
      </c>
    </row>
    <row r="14">
      <c r="D14">
        <f>IF((ROW()-2)&gt;$B$12,"",INDEX(INDIRECT("Cat_"&amp;$B$6),COUNTA(INDIRECT("Cat_"&amp;$B$6))-$B$12+(ROW()-2)))</f>
        <v/>
      </c>
      <c r="E14">
        <f>IF($D14="","",SUMIFS(Datos!$G$2:$G$8833,Datos!$A$2:$A$8833,$B$3,Datos!$B$2:$B$8833,$B$13,Datos!$C$2:$C$8833,$B$5,Datos!$D$2:$D$8833,$B$6,Datos!$E$2:$E$8833,$D14,Datos!$F$2:$F$8833,"Cartera"))</f>
        <v/>
      </c>
      <c r="F14">
        <f>IF(OR($B$9="Sin benchmark",$D14=""),"",SUMIFS(Datos!$G$2:$G$8833,Datos!$A$2:$A$8833,$B$3,Datos!$B$2:$B$8833,$B$13,Datos!$C$2:$C$8833,$B$5,Datos!$D$2:$D$8833,$B$6,Datos!$E$2:$E$8833,$D14,Datos!$F$2:$F$8833,"Benchmark"))</f>
        <v/>
      </c>
    </row>
    <row r="15">
      <c r="A15" s="6">
        <f>"Fondo: "&amp;B3&amp;"  ·  "&amp;B5&amp;" por "&amp;B6&amp;"  ·  "&amp;B8&amp;IF(B9="Con benchmark","  ·  vs benchmark","")</f>
        <v/>
      </c>
      <c r="D15">
        <f>IF((ROW()-2)&gt;$B$12,"",INDEX(INDIRECT("Cat_"&amp;$B$6),COUNTA(INDIRECT("Cat_"&amp;$B$6))-$B$12+(ROW()-2)))</f>
        <v/>
      </c>
      <c r="E15">
        <f>IF($D15="","",SUMIFS(Datos!$G$2:$G$8833,Datos!$A$2:$A$8833,$B$3,Datos!$B$2:$B$8833,$B$13,Datos!$C$2:$C$8833,$B$5,Datos!$D$2:$D$8833,$B$6,Datos!$E$2:$E$8833,$D15,Datos!$F$2:$F$8833,"Cartera"))</f>
        <v/>
      </c>
      <c r="F15">
        <f>IF(OR($B$9="Sin benchmark",$D15=""),"",SUMIFS(Datos!$G$2:$G$8833,Datos!$A$2:$A$8833,$B$3,Datos!$B$2:$B$8833,$B$13,Datos!$C$2:$C$8833,$B$5,Datos!$D$2:$D$8833,$B$6,Datos!$E$2:$E$8833,$D15,Datos!$F$2:$F$8833,"Benchmark"))</f>
        <v/>
      </c>
    </row>
    <row r="16">
      <c r="D16">
        <f>IF((ROW()-2)&gt;$B$12,"",INDEX(INDIRECT("Cat_"&amp;$B$6),COUNTA(INDIRECT("Cat_"&amp;$B$6))-$B$12+(ROW()-2)))</f>
        <v/>
      </c>
      <c r="E16">
        <f>IF($D16="","",SUMIFS(Datos!$G$2:$G$8833,Datos!$A$2:$A$8833,$B$3,Datos!$B$2:$B$8833,$B$13,Datos!$C$2:$C$8833,$B$5,Datos!$D$2:$D$8833,$B$6,Datos!$E$2:$E$8833,$D16,Datos!$F$2:$F$8833,"Cartera"))</f>
        <v/>
      </c>
      <c r="F16">
        <f>IF(OR($B$9="Sin benchmark",$D16=""),"",SUMIFS(Datos!$G$2:$G$8833,Datos!$A$2:$A$8833,$B$3,Datos!$B$2:$B$8833,$B$13,Datos!$C$2:$C$8833,$B$5,Datos!$D$2:$D$8833,$B$6,Datos!$E$2:$E$8833,$D16,Datos!$F$2:$F$8833,"Benchmark"))</f>
        <v/>
      </c>
    </row>
    <row r="17">
      <c r="D17">
        <f>IF((ROW()-2)&gt;$B$12,"",INDEX(INDIRECT("Cat_"&amp;$B$6),COUNTA(INDIRECT("Cat_"&amp;$B$6))-$B$12+(ROW()-2)))</f>
        <v/>
      </c>
      <c r="E17">
        <f>IF($D17="","",SUMIFS(Datos!$G$2:$G$8833,Datos!$A$2:$A$8833,$B$3,Datos!$B$2:$B$8833,$B$13,Datos!$C$2:$C$8833,$B$5,Datos!$D$2:$D$8833,$B$6,Datos!$E$2:$E$8833,$D17,Datos!$F$2:$F$8833,"Cartera"))</f>
        <v/>
      </c>
      <c r="F17">
        <f>IF(OR($B$9="Sin benchmark",$D17=""),"",SUMIFS(Datos!$G$2:$G$8833,Datos!$A$2:$A$8833,$B$3,Datos!$B$2:$B$8833,$B$13,Datos!$C$2:$C$8833,$B$5,Datos!$D$2:$D$8833,$B$6,Datos!$E$2:$E$8833,$D17,Datos!$F$2:$F$8833,"Benchmark"))</f>
        <v/>
      </c>
    </row>
    <row r="18">
      <c r="D18">
        <f>IF((ROW()-2)&gt;$B$12,"",INDEX(INDIRECT("Cat_"&amp;$B$6),COUNTA(INDIRECT("Cat_"&amp;$B$6))-$B$12+(ROW()-2)))</f>
        <v/>
      </c>
      <c r="E18">
        <f>IF($D18="","",SUMIFS(Datos!$G$2:$G$8833,Datos!$A$2:$A$8833,$B$3,Datos!$B$2:$B$8833,$B$13,Datos!$C$2:$C$8833,$B$5,Datos!$D$2:$D$8833,$B$6,Datos!$E$2:$E$8833,$D18,Datos!$F$2:$F$8833,"Cartera"))</f>
        <v/>
      </c>
      <c r="F18">
        <f>IF(OR($B$9="Sin benchmark",$D18=""),"",SUMIFS(Datos!$G$2:$G$8833,Datos!$A$2:$A$8833,$B$3,Datos!$B$2:$B$8833,$B$13,Datos!$C$2:$C$8833,$B$5,Datos!$D$2:$D$8833,$B$6,Datos!$E$2:$E$8833,$D18,Datos!$F$2:$F$8833,"Benchmark"))</f>
        <v/>
      </c>
    </row>
    <row r="19">
      <c r="D19">
        <f>IF((ROW()-2)&gt;$B$12,"",INDEX(INDIRECT("Cat_"&amp;$B$6),COUNTA(INDIRECT("Cat_"&amp;$B$6))-$B$12+(ROW()-2)))</f>
        <v/>
      </c>
      <c r="E19">
        <f>IF($D19="","",SUMIFS(Datos!$G$2:$G$8833,Datos!$A$2:$A$8833,$B$3,Datos!$B$2:$B$8833,$B$13,Datos!$C$2:$C$8833,$B$5,Datos!$D$2:$D$8833,$B$6,Datos!$E$2:$E$8833,$D19,Datos!$F$2:$F$8833,"Cartera"))</f>
        <v/>
      </c>
      <c r="F19">
        <f>IF(OR($B$9="Sin benchmark",$D19=""),"",SUMIFS(Datos!$G$2:$G$8833,Datos!$A$2:$A$8833,$B$3,Datos!$B$2:$B$8833,$B$13,Datos!$C$2:$C$8833,$B$5,Datos!$D$2:$D$8833,$B$6,Datos!$E$2:$E$8833,$D19,Datos!$F$2:$F$8833,"Benchmark"))</f>
        <v/>
      </c>
    </row>
    <row r="20">
      <c r="D20">
        <f>IF((ROW()-2)&gt;$B$12,"",INDEX(INDIRECT("Cat_"&amp;$B$6),COUNTA(INDIRECT("Cat_"&amp;$B$6))-$B$12+(ROW()-2)))</f>
        <v/>
      </c>
      <c r="E20">
        <f>IF($D20="","",SUMIFS(Datos!$G$2:$G$8833,Datos!$A$2:$A$8833,$B$3,Datos!$B$2:$B$8833,$B$13,Datos!$C$2:$C$8833,$B$5,Datos!$D$2:$D$8833,$B$6,Datos!$E$2:$E$8833,$D20,Datos!$F$2:$F$8833,"Cartera"))</f>
        <v/>
      </c>
      <c r="F20">
        <f>IF(OR($B$9="Sin benchmark",$D20=""),"",SUMIFS(Datos!$G$2:$G$8833,Datos!$A$2:$A$8833,$B$3,Datos!$B$2:$B$8833,$B$13,Datos!$C$2:$C$8833,$B$5,Datos!$D$2:$D$8833,$B$6,Datos!$E$2:$E$8833,$D20,Datos!$F$2:$F$8833,"Benchmark"))</f>
        <v/>
      </c>
    </row>
    <row r="21">
      <c r="D21">
        <f>IF((ROW()-2)&gt;$B$12,"",INDEX(INDIRECT("Cat_"&amp;$B$6),COUNTA(INDIRECT("Cat_"&amp;$B$6))-$B$12+(ROW()-2)))</f>
        <v/>
      </c>
      <c r="E21">
        <f>IF($D21="","",SUMIFS(Datos!$G$2:$G$8833,Datos!$A$2:$A$8833,$B$3,Datos!$B$2:$B$8833,$B$13,Datos!$C$2:$C$8833,$B$5,Datos!$D$2:$D$8833,$B$6,Datos!$E$2:$E$8833,$D21,Datos!$F$2:$F$8833,"Cartera"))</f>
        <v/>
      </c>
      <c r="F21">
        <f>IF(OR($B$9="Sin benchmark",$D21=""),"",SUMIFS(Datos!$G$2:$G$8833,Datos!$A$2:$A$8833,$B$3,Datos!$B$2:$B$8833,$B$13,Datos!$C$2:$C$8833,$B$5,Datos!$D$2:$D$8833,$B$6,Datos!$E$2:$E$8833,$D21,Datos!$F$2:$F$8833,"Benchmark"))</f>
        <v/>
      </c>
    </row>
    <row r="22">
      <c r="D22">
        <f>IF((ROW()-2)&gt;$B$12,"",INDEX(INDIRECT("Cat_"&amp;$B$6),COUNTA(INDIRECT("Cat_"&amp;$B$6))-$B$12+(ROW()-2)))</f>
        <v/>
      </c>
      <c r="E22">
        <f>IF($D22="","",SUMIFS(Datos!$G$2:$G$8833,Datos!$A$2:$A$8833,$B$3,Datos!$B$2:$B$8833,$B$13,Datos!$C$2:$C$8833,$B$5,Datos!$D$2:$D$8833,$B$6,Datos!$E$2:$E$8833,$D22,Datos!$F$2:$F$8833,"Cartera"))</f>
        <v/>
      </c>
      <c r="F22">
        <f>IF(OR($B$9="Sin benchmark",$D22=""),"",SUMIFS(Datos!$G$2:$G$8833,Datos!$A$2:$A$8833,$B$3,Datos!$B$2:$B$8833,$B$13,Datos!$C$2:$C$8833,$B$5,Datos!$D$2:$D$8833,$B$6,Datos!$E$2:$E$8833,$D22,Datos!$F$2:$F$8833,"Benchmark"))</f>
        <v/>
      </c>
    </row>
    <row r="23">
      <c r="D23">
        <f>IF((ROW()-2)&gt;$B$12,"",INDEX(INDIRECT("Cat_"&amp;$B$6),COUNTA(INDIRECT("Cat_"&amp;$B$6))-$B$12+(ROW()-2)))</f>
        <v/>
      </c>
      <c r="E23">
        <f>IF($D23="","",SUMIFS(Datos!$G$2:$G$8833,Datos!$A$2:$A$8833,$B$3,Datos!$B$2:$B$8833,$B$13,Datos!$C$2:$C$8833,$B$5,Datos!$D$2:$D$8833,$B$6,Datos!$E$2:$E$8833,$D23,Datos!$F$2:$F$8833,"Cartera"))</f>
        <v/>
      </c>
      <c r="F23">
        <f>IF(OR($B$9="Sin benchmark",$D23=""),"",SUMIFS(Datos!$G$2:$G$8833,Datos!$A$2:$A$8833,$B$3,Datos!$B$2:$B$8833,$B$13,Datos!$C$2:$C$8833,$B$5,Datos!$D$2:$D$8833,$B$6,Datos!$E$2:$E$8833,$D23,Datos!$F$2:$F$8833,"Benchmark"))</f>
        <v/>
      </c>
    </row>
    <row r="24">
      <c r="D24">
        <f>IF((ROW()-2)&gt;$B$12,"",INDEX(INDIRECT("Cat_"&amp;$B$6),COUNTA(INDIRECT("Cat_"&amp;$B$6))-$B$12+(ROW()-2)))</f>
        <v/>
      </c>
      <c r="E24">
        <f>IF($D24="","",SUMIFS(Datos!$G$2:$G$8833,Datos!$A$2:$A$8833,$B$3,Datos!$B$2:$B$8833,$B$13,Datos!$C$2:$C$8833,$B$5,Datos!$D$2:$D$8833,$B$6,Datos!$E$2:$E$8833,$D24,Datos!$F$2:$F$8833,"Cartera"))</f>
        <v/>
      </c>
      <c r="F24">
        <f>IF(OR($B$9="Sin benchmark",$D24=""),"",SUMIFS(Datos!$G$2:$G$8833,Datos!$A$2:$A$8833,$B$3,Datos!$B$2:$B$8833,$B$13,Datos!$C$2:$C$8833,$B$5,Datos!$D$2:$D$8833,$B$6,Datos!$E$2:$E$8833,$D24,Datos!$F$2:$F$8833,"Benchmark"))</f>
        <v/>
      </c>
    </row>
    <row r="25">
      <c r="D25">
        <f>IF((ROW()-2)&gt;$B$12,"",INDEX(INDIRECT("Cat_"&amp;$B$6),COUNTA(INDIRECT("Cat_"&amp;$B$6))-$B$12+(ROW()-2)))</f>
        <v/>
      </c>
      <c r="E25">
        <f>IF($D25="","",SUMIFS(Datos!$G$2:$G$8833,Datos!$A$2:$A$8833,$B$3,Datos!$B$2:$B$8833,$B$13,Datos!$C$2:$C$8833,$B$5,Datos!$D$2:$D$8833,$B$6,Datos!$E$2:$E$8833,$D25,Datos!$F$2:$F$8833,"Cartera"))</f>
        <v/>
      </c>
      <c r="F25">
        <f>IF(OR($B$9="Sin benchmark",$D25=""),"",SUMIFS(Datos!$G$2:$G$8833,Datos!$A$2:$A$8833,$B$3,Datos!$B$2:$B$8833,$B$13,Datos!$C$2:$C$8833,$B$5,Datos!$D$2:$D$8833,$B$6,Datos!$E$2:$E$8833,$D25,Datos!$F$2:$F$8833,"Benchmark"))</f>
        <v/>
      </c>
    </row>
    <row r="26">
      <c r="D26">
        <f>IF((ROW()-2)&gt;$B$12,"",INDEX(INDIRECT("Cat_"&amp;$B$6),COUNTA(INDIRECT("Cat_"&amp;$B$6))-$B$12+(ROW()-2)))</f>
        <v/>
      </c>
      <c r="E26">
        <f>IF($D26="","",SUMIFS(Datos!$G$2:$G$8833,Datos!$A$2:$A$8833,$B$3,Datos!$B$2:$B$8833,$B$13,Datos!$C$2:$C$8833,$B$5,Datos!$D$2:$D$8833,$B$6,Datos!$E$2:$E$8833,$D26,Datos!$F$2:$F$8833,"Cartera"))</f>
        <v/>
      </c>
      <c r="F26">
        <f>IF(OR($B$9="Sin benchmark",$D26=""),"",SUMIFS(Datos!$G$2:$G$8833,Datos!$A$2:$A$8833,$B$3,Datos!$B$2:$B$8833,$B$13,Datos!$C$2:$C$8833,$B$5,Datos!$D$2:$D$8833,$B$6,Datos!$E$2:$E$8833,$D26,Datos!$F$2:$F$8833,"Benchmark"))</f>
        <v/>
      </c>
    </row>
    <row r="27">
      <c r="D27">
        <f>IF((ROW()-2)&gt;$B$12,"",INDEX(INDIRECT("Cat_"&amp;$B$6),COUNTA(INDIRECT("Cat_"&amp;$B$6))-$B$12+(ROW()-2)))</f>
        <v/>
      </c>
      <c r="E27">
        <f>IF($D27="","",SUMIFS(Datos!$G$2:$G$8833,Datos!$A$2:$A$8833,$B$3,Datos!$B$2:$B$8833,$B$13,Datos!$C$2:$C$8833,$B$5,Datos!$D$2:$D$8833,$B$6,Datos!$E$2:$E$8833,$D27,Datos!$F$2:$F$8833,"Cartera"))</f>
        <v/>
      </c>
      <c r="F27">
        <f>IF(OR($B$9="Sin benchmark",$D27=""),"",SUMIFS(Datos!$G$2:$G$8833,Datos!$A$2:$A$8833,$B$3,Datos!$B$2:$B$8833,$B$13,Datos!$C$2:$C$8833,$B$5,Datos!$D$2:$D$8833,$B$6,Datos!$E$2:$E$8833,$D27,Datos!$F$2:$F$8833,"Benchmark"))</f>
        <v/>
      </c>
    </row>
    <row r="28">
      <c r="D28">
        <f>IF((ROW()-2)&gt;$B$12,"",INDEX(INDIRECT("Cat_"&amp;$B$6),COUNTA(INDIRECT("Cat_"&amp;$B$6))-$B$12+(ROW()-2)))</f>
        <v/>
      </c>
      <c r="E28">
        <f>IF($D28="","",SUMIFS(Datos!$G$2:$G$8833,Datos!$A$2:$A$8833,$B$3,Datos!$B$2:$B$8833,$B$13,Datos!$C$2:$C$8833,$B$5,Datos!$D$2:$D$8833,$B$6,Datos!$E$2:$E$8833,$D28,Datos!$F$2:$F$8833,"Cartera"))</f>
        <v/>
      </c>
      <c r="F28">
        <f>IF(OR($B$9="Sin benchmark",$D28=""),"",SUMIFS(Datos!$G$2:$G$8833,Datos!$A$2:$A$8833,$B$3,Datos!$B$2:$B$8833,$B$13,Datos!$C$2:$C$8833,$B$5,Datos!$D$2:$D$8833,$B$6,Datos!$E$2:$E$8833,$D28,Datos!$F$2:$F$8833,"Benchmark"))</f>
        <v/>
      </c>
    </row>
    <row r="29">
      <c r="D29">
        <f>IF((ROW()-2)&gt;$B$12,"",INDEX(INDIRECT("Cat_"&amp;$B$6),COUNTA(INDIRECT("Cat_"&amp;$B$6))-$B$12+(ROW()-2)))</f>
        <v/>
      </c>
      <c r="E29">
        <f>IF($D29="","",SUMIFS(Datos!$G$2:$G$8833,Datos!$A$2:$A$8833,$B$3,Datos!$B$2:$B$8833,$B$13,Datos!$C$2:$C$8833,$B$5,Datos!$D$2:$D$8833,$B$6,Datos!$E$2:$E$8833,$D29,Datos!$F$2:$F$8833,"Cartera"))</f>
        <v/>
      </c>
      <c r="F29">
        <f>IF(OR($B$9="Sin benchmark",$D29=""),"",SUMIFS(Datos!$G$2:$G$8833,Datos!$A$2:$A$8833,$B$3,Datos!$B$2:$B$8833,$B$13,Datos!$C$2:$C$8833,$B$5,Datos!$D$2:$D$8833,$B$6,Datos!$E$2:$E$8833,$D29,Datos!$F$2:$F$8833,"Benchmark"))</f>
        <v/>
      </c>
    </row>
    <row r="30">
      <c r="D30">
        <f>IF((ROW()-2)&gt;$B$12,"",INDEX(INDIRECT("Cat_"&amp;$B$6),COUNTA(INDIRECT("Cat_"&amp;$B$6))-$B$12+(ROW()-2)))</f>
        <v/>
      </c>
      <c r="E30">
        <f>IF($D30="","",SUMIFS(Datos!$G$2:$G$8833,Datos!$A$2:$A$8833,$B$3,Datos!$B$2:$B$8833,$B$13,Datos!$C$2:$C$8833,$B$5,Datos!$D$2:$D$8833,$B$6,Datos!$E$2:$E$8833,$D30,Datos!$F$2:$F$8833,"Cartera"))</f>
        <v/>
      </c>
      <c r="F30">
        <f>IF(OR($B$9="Sin benchmark",$D30=""),"",SUMIFS(Datos!$G$2:$G$8833,Datos!$A$2:$A$8833,$B$3,Datos!$B$2:$B$8833,$B$13,Datos!$C$2:$C$8833,$B$5,Datos!$D$2:$D$8833,$B$6,Datos!$E$2:$E$8833,$D30,Datos!$F$2:$F$8833,"Benchmark"))</f>
        <v/>
      </c>
    </row>
    <row r="31">
      <c r="D31">
        <f>IF((ROW()-2)&gt;$B$12,"",INDEX(INDIRECT("Cat_"&amp;$B$6),COUNTA(INDIRECT("Cat_"&amp;$B$6))-$B$12+(ROW()-2)))</f>
        <v/>
      </c>
      <c r="E31">
        <f>IF($D31="","",SUMIFS(Datos!$G$2:$G$8833,Datos!$A$2:$A$8833,$B$3,Datos!$B$2:$B$8833,$B$13,Datos!$C$2:$C$8833,$B$5,Datos!$D$2:$D$8833,$B$6,Datos!$E$2:$E$8833,$D31,Datos!$F$2:$F$8833,"Cartera"))</f>
        <v/>
      </c>
      <c r="F31">
        <f>IF(OR($B$9="Sin benchmark",$D31=""),"",SUMIFS(Datos!$G$2:$G$8833,Datos!$A$2:$A$8833,$B$3,Datos!$B$2:$B$8833,$B$13,Datos!$C$2:$C$8833,$B$5,Datos!$D$2:$D$8833,$B$6,Datos!$E$2:$E$8833,$D31,Datos!$F$2:$F$8833,"Benchmark"))</f>
        <v/>
      </c>
    </row>
    <row r="32">
      <c r="D32">
        <f>IF((ROW()-2)&gt;$B$12,"",INDEX(INDIRECT("Cat_"&amp;$B$6),COUNTA(INDIRECT("Cat_"&amp;$B$6))-$B$12+(ROW()-2)))</f>
        <v/>
      </c>
      <c r="E32">
        <f>IF($D32="","",SUMIFS(Datos!$G$2:$G$8833,Datos!$A$2:$A$8833,$B$3,Datos!$B$2:$B$8833,$B$13,Datos!$C$2:$C$8833,$B$5,Datos!$D$2:$D$8833,$B$6,Datos!$E$2:$E$8833,$D32,Datos!$F$2:$F$8833,"Cartera"))</f>
        <v/>
      </c>
      <c r="F32">
        <f>IF(OR($B$9="Sin benchmark",$D32=""),"",SUMIFS(Datos!$G$2:$G$8833,Datos!$A$2:$A$8833,$B$3,Datos!$B$2:$B$8833,$B$13,Datos!$C$2:$C$8833,$B$5,Datos!$D$2:$D$8833,$B$6,Datos!$E$2:$E$8833,$D32,Datos!$F$2:$F$8833,"Benchmark"))</f>
        <v/>
      </c>
    </row>
    <row r="33">
      <c r="D33">
        <f>IF((ROW()-2)&gt;$B$12,"",INDEX(INDIRECT("Cat_"&amp;$B$6),COUNTA(INDIRECT("Cat_"&amp;$B$6))-$B$12+(ROW()-2)))</f>
        <v/>
      </c>
      <c r="E33">
        <f>IF($D33="","",SUMIFS(Datos!$G$2:$G$8833,Datos!$A$2:$A$8833,$B$3,Datos!$B$2:$B$8833,$B$13,Datos!$C$2:$C$8833,$B$5,Datos!$D$2:$D$8833,$B$6,Datos!$E$2:$E$8833,$D33,Datos!$F$2:$F$8833,"Cartera"))</f>
        <v/>
      </c>
      <c r="F33">
        <f>IF(OR($B$9="Sin benchmark",$D33=""),"",SUMIFS(Datos!$G$2:$G$8833,Datos!$A$2:$A$8833,$B$3,Datos!$B$2:$B$8833,$B$13,Datos!$C$2:$C$8833,$B$5,Datos!$D$2:$D$8833,$B$6,Datos!$E$2:$E$8833,$D33,Datos!$F$2:$F$8833,"Benchmark"))</f>
        <v/>
      </c>
    </row>
    <row r="34">
      <c r="D34">
        <f>IF((ROW()-2)&gt;$B$12,"",INDEX(INDIRECT("Cat_"&amp;$B$6),COUNTA(INDIRECT("Cat_"&amp;$B$6))-$B$12+(ROW()-2)))</f>
        <v/>
      </c>
      <c r="E34">
        <f>IF($D34="","",SUMIFS(Datos!$G$2:$G$8833,Datos!$A$2:$A$8833,$B$3,Datos!$B$2:$B$8833,$B$13,Datos!$C$2:$C$8833,$B$5,Datos!$D$2:$D$8833,$B$6,Datos!$E$2:$E$8833,$D34,Datos!$F$2:$F$8833,"Cartera"))</f>
        <v/>
      </c>
      <c r="F34">
        <f>IF(OR($B$9="Sin benchmark",$D34=""),"",SUMIFS(Datos!$G$2:$G$8833,Datos!$A$2:$A$8833,$B$3,Datos!$B$2:$B$8833,$B$13,Datos!$C$2:$C$8833,$B$5,Datos!$D$2:$D$8833,$B$6,Datos!$E$2:$E$8833,$D34,Datos!$F$2:$F$8833,"Benchmark"))</f>
        <v/>
      </c>
    </row>
    <row r="35">
      <c r="D35">
        <f>IF((ROW()-2)&gt;$B$12,"",INDEX(INDIRECT("Cat_"&amp;$B$6),COUNTA(INDIRECT("Cat_"&amp;$B$6))-$B$12+(ROW()-2)))</f>
        <v/>
      </c>
      <c r="E35">
        <f>IF($D35="","",SUMIFS(Datos!$G$2:$G$8833,Datos!$A$2:$A$8833,$B$3,Datos!$B$2:$B$8833,$B$13,Datos!$C$2:$C$8833,$B$5,Datos!$D$2:$D$8833,$B$6,Datos!$E$2:$E$8833,$D35,Datos!$F$2:$F$8833,"Cartera"))</f>
        <v/>
      </c>
      <c r="F35">
        <f>IF(OR($B$9="Sin benchmark",$D35=""),"",SUMIFS(Datos!$G$2:$G$8833,Datos!$A$2:$A$8833,$B$3,Datos!$B$2:$B$8833,$B$13,Datos!$C$2:$C$8833,$B$5,Datos!$D$2:$D$8833,$B$6,Datos!$E$2:$E$8833,$D35,Datos!$F$2:$F$8833,"Benchmark"))</f>
        <v/>
      </c>
    </row>
    <row r="36">
      <c r="D36">
        <f>IF((ROW()-2)&gt;$B$12,"",INDEX(INDIRECT("Cat_"&amp;$B$6),COUNTA(INDIRECT("Cat_"&amp;$B$6))-$B$12+(ROW()-2)))</f>
        <v/>
      </c>
      <c r="E36">
        <f>IF($D36="","",SUMIFS(Datos!$G$2:$G$8833,Datos!$A$2:$A$8833,$B$3,Datos!$B$2:$B$8833,$B$13,Datos!$C$2:$C$8833,$B$5,Datos!$D$2:$D$8833,$B$6,Datos!$E$2:$E$8833,$D36,Datos!$F$2:$F$8833,"Cartera"))</f>
        <v/>
      </c>
      <c r="F36">
        <f>IF(OR($B$9="Sin benchmark",$D36=""),"",SUMIFS(Datos!$G$2:$G$8833,Datos!$A$2:$A$8833,$B$3,Datos!$B$2:$B$8833,$B$13,Datos!$C$2:$C$8833,$B$5,Datos!$D$2:$D$8833,$B$6,Datos!$E$2:$E$8833,$D36,Datos!$F$2:$F$8833,"Benchmark"))</f>
        <v/>
      </c>
    </row>
    <row r="37">
      <c r="D37">
        <f>IF((ROW()-2)&gt;$B$12,"",INDEX(INDIRECT("Cat_"&amp;$B$6),COUNTA(INDIRECT("Cat_"&amp;$B$6))-$B$12+(ROW()-2)))</f>
        <v/>
      </c>
      <c r="E37">
        <f>IF($D37="","",SUMIFS(Datos!$G$2:$G$8833,Datos!$A$2:$A$8833,$B$3,Datos!$B$2:$B$8833,$B$13,Datos!$C$2:$C$8833,$B$5,Datos!$D$2:$D$8833,$B$6,Datos!$E$2:$E$8833,$D37,Datos!$F$2:$F$8833,"Cartera"))</f>
        <v/>
      </c>
      <c r="F37">
        <f>IF(OR($B$9="Sin benchmark",$D37=""),"",SUMIFS(Datos!$G$2:$G$8833,Datos!$A$2:$A$8833,$B$3,Datos!$B$2:$B$8833,$B$13,Datos!$C$2:$C$8833,$B$5,Datos!$D$2:$D$8833,$B$6,Datos!$E$2:$E$8833,$D37,Datos!$F$2:$F$8833,"Benchmark"))</f>
        <v/>
      </c>
    </row>
    <row r="38">
      <c r="D38">
        <f>IF((ROW()-2)&gt;$B$12,"",INDEX(INDIRECT("Cat_"&amp;$B$6),COUNTA(INDIRECT("Cat_"&amp;$B$6))-$B$12+(ROW()-2)))</f>
        <v/>
      </c>
      <c r="E38">
        <f>IF($D38="","",SUMIFS(Datos!$G$2:$G$8833,Datos!$A$2:$A$8833,$B$3,Datos!$B$2:$B$8833,$B$13,Datos!$C$2:$C$8833,$B$5,Datos!$D$2:$D$8833,$B$6,Datos!$E$2:$E$8833,$D38,Datos!$F$2:$F$8833,"Cartera"))</f>
        <v/>
      </c>
      <c r="F38">
        <f>IF(OR($B$9="Sin benchmark",$D38=""),"",SUMIFS(Datos!$G$2:$G$8833,Datos!$A$2:$A$8833,$B$3,Datos!$B$2:$B$8833,$B$13,Datos!$C$2:$C$8833,$B$5,Datos!$D$2:$D$8833,$B$6,Datos!$E$2:$E$8833,$D38,Datos!$F$2:$F$8833,"Benchmark"))</f>
        <v/>
      </c>
    </row>
  </sheetData>
  <mergeCells count="1">
    <mergeCell ref="A15:C15"/>
  </mergeCells>
  <dataValidations count="8">
    <dataValidation sqref="B3" showDropDown="0" showInputMessage="0" showErrorMessage="0" allowBlank="0" type="list">
      <formula1>"RF Privada A,Bolsa Europa,Mixto Moderado"</formula1>
    </dataValidation>
    <dataValidation sqref="B4" showDropDown="0" showInputMessage="0" showErrorMessage="0" allowBlank="0" type="list">
      <formula1>"Rendimiento,Riesgo,Composicion,Costes,Liquidez,Valoracion"</formula1>
    </dataValidation>
    <dataValidation sqref="B5" showDropDown="0" showInputMessage="0" showErrorMessage="0" allowBlank="0" type="list">
      <formula1>=INDIRECT("Grupo_"&amp;$B$4)</formula1>
    </dataValidation>
    <dataValidation sqref="B6" showDropDown="0" showInputMessage="0" showErrorMessage="0" allowBlank="0" type="list">
      <formula1>"Mensual,Trimestral,Semestral,Anual,Activo,Geografia,Industria,Sector,Divisa,Rating"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"MTD,YTD,3M,6M,1A,3A"</formula1>
    </dataValidation>
    <dataValidation sqref="B9" showDropDown="0" showInputMessage="0" showErrorMessage="0" allowBlank="0" type="list">
      <formula1>"Con benchmark,Sin benchmark"</formula1>
    </dataValidation>
    <dataValidation sqref="B10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Fondo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Grupo_Rendimiento</t>
        </is>
      </c>
      <c r="B1" s="3" t="inlineStr">
        <is>
          <t>Grupo_Riesgo</t>
        </is>
      </c>
      <c r="C1" s="3" t="inlineStr">
        <is>
          <t>Grupo_Composicion</t>
        </is>
      </c>
      <c r="D1" s="3" t="inlineStr">
        <is>
          <t>Grupo_Costes</t>
        </is>
      </c>
      <c r="E1" s="3" t="inlineStr">
        <is>
          <t>Grupo_Liquidez</t>
        </is>
      </c>
      <c r="F1" s="3" t="inlineStr">
        <is>
          <t>Grupo_Valoracion</t>
        </is>
      </c>
      <c r="G1" s="3" t="inlineStr">
        <is>
          <t>Cat_Mensual</t>
        </is>
      </c>
      <c r="H1" s="3" t="inlineStr">
        <is>
          <t>Cat_Trimestral</t>
        </is>
      </c>
      <c r="I1" s="3" t="inlineStr">
        <is>
          <t>Cat_Semestral</t>
        </is>
      </c>
      <c r="J1" s="3" t="inlineStr">
        <is>
          <t>Cat_Anual</t>
        </is>
      </c>
      <c r="K1" s="3" t="inlineStr">
        <is>
          <t>Cat_Activo</t>
        </is>
      </c>
      <c r="L1" s="3" t="inlineStr">
        <is>
          <t>Cat_Geografia</t>
        </is>
      </c>
      <c r="M1" s="3" t="inlineStr">
        <is>
          <t>Cat_Industria</t>
        </is>
      </c>
      <c r="N1" s="3" t="inlineStr">
        <is>
          <t>Cat_Sector</t>
        </is>
      </c>
      <c r="O1" s="3" t="inlineStr">
        <is>
          <t>Cat_Divisa</t>
        </is>
      </c>
      <c r="P1" s="3" t="inlineStr">
        <is>
          <t>Cat_Rating</t>
        </is>
      </c>
      <c r="R1" s="3" t="inlineStr">
        <is>
          <t>Periodos</t>
        </is>
      </c>
      <c r="S1" s="3" t="inlineStr">
        <is>
          <t>DimTiempo</t>
        </is>
      </c>
      <c r="T1" t="inlineStr">
        <is>
          <t>N_Men</t>
        </is>
      </c>
      <c r="U1" t="inlineStr">
        <is>
          <t>N_Tri</t>
        </is>
      </c>
      <c r="V1" t="inlineStr">
        <is>
          <t>N_Sem</t>
        </is>
      </c>
      <c r="W1" t="inlineStr">
        <is>
          <t>N_Anu</t>
        </is>
      </c>
    </row>
    <row r="2">
      <c r="A2" t="inlineStr">
        <is>
          <t>Rentabilidad</t>
        </is>
      </c>
      <c r="B2" t="inlineStr">
        <is>
          <t>Duración</t>
        </is>
      </c>
      <c r="C2" t="inlineStr">
        <is>
          <t>Peso</t>
        </is>
      </c>
      <c r="D2" t="inlineStr">
        <is>
          <t>TER</t>
        </is>
      </c>
      <c r="E2" t="inlineStr">
        <is>
          <t>Liquidez</t>
        </is>
      </c>
      <c r="F2" t="inlineStr">
        <is>
          <t>PER</t>
        </is>
      </c>
      <c r="G2" t="inlineStr">
        <is>
          <t>2023-07</t>
        </is>
      </c>
      <c r="H2" t="inlineStr">
        <is>
          <t>2023-T3</t>
        </is>
      </c>
      <c r="I2" t="inlineStr">
        <is>
          <t>2023-S2</t>
        </is>
      </c>
      <c r="J2" t="inlineStr">
        <is>
          <t>2024</t>
        </is>
      </c>
      <c r="K2" t="inlineStr">
        <is>
          <t>Deuda Pública</t>
        </is>
      </c>
      <c r="L2" t="inlineStr">
        <is>
          <t>Europa</t>
        </is>
      </c>
      <c r="M2" t="inlineStr">
        <is>
          <t>Financiero</t>
        </is>
      </c>
      <c r="N2" t="inlineStr">
        <is>
          <t>Financiero</t>
        </is>
      </c>
      <c r="O2" t="inlineStr">
        <is>
          <t>EUR</t>
        </is>
      </c>
      <c r="P2" t="inlineStr">
        <is>
          <t>AAA</t>
        </is>
      </c>
      <c r="R2" t="inlineStr">
        <is>
          <t>MTD</t>
        </is>
      </c>
      <c r="S2" t="inlineStr">
        <is>
          <t>Mensual</t>
        </is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Rentab. acum.</t>
        </is>
      </c>
      <c r="B3" t="inlineStr">
        <is>
          <t>TIR</t>
        </is>
      </c>
      <c r="F3" t="inlineStr">
        <is>
          <t>DividendYield</t>
        </is>
      </c>
      <c r="G3" t="inlineStr">
        <is>
          <t>2023-08</t>
        </is>
      </c>
      <c r="H3" t="inlineStr">
        <is>
          <t>2023-T4</t>
        </is>
      </c>
      <c r="I3" t="inlineStr">
        <is>
          <t>2024-S1</t>
        </is>
      </c>
      <c r="J3" t="inlineStr">
        <is>
          <t>2025</t>
        </is>
      </c>
      <c r="K3" t="inlineStr">
        <is>
          <t>Deuda Privada</t>
        </is>
      </c>
      <c r="L3" t="inlineStr">
        <is>
          <t>Norteamérica</t>
        </is>
      </c>
      <c r="M3" t="inlineStr">
        <is>
          <t>Tecnología</t>
        </is>
      </c>
      <c r="N3" t="inlineStr">
        <is>
          <t>Industrial</t>
        </is>
      </c>
      <c r="O3" t="inlineStr">
        <is>
          <t>USD</t>
        </is>
      </c>
      <c r="P3" t="inlineStr">
        <is>
          <t>AA</t>
        </is>
      </c>
      <c r="R3" t="inlineStr">
        <is>
          <t>YTD</t>
        </is>
      </c>
      <c r="S3" t="inlineStr">
        <is>
          <t>Trimestral</t>
        </is>
      </c>
      <c r="T3" t="n">
        <v>6</v>
      </c>
      <c r="U3" t="n">
        <v>2</v>
      </c>
      <c r="V3" t="n">
        <v>1</v>
      </c>
      <c r="W3" t="n">
        <v>1</v>
      </c>
    </row>
    <row r="4">
      <c r="B4" t="inlineStr">
        <is>
          <t>Spread</t>
        </is>
      </c>
      <c r="G4" t="inlineStr">
        <is>
          <t>2023-09</t>
        </is>
      </c>
      <c r="H4" t="inlineStr">
        <is>
          <t>2024-T1</t>
        </is>
      </c>
      <c r="I4" t="inlineStr">
        <is>
          <t>2024-S2</t>
        </is>
      </c>
      <c r="J4" t="inlineStr">
        <is>
          <t>2026</t>
        </is>
      </c>
      <c r="K4" t="inlineStr">
        <is>
          <t>Acciones</t>
        </is>
      </c>
      <c r="L4" t="inlineStr">
        <is>
          <t>Asia-Pacífico</t>
        </is>
      </c>
      <c r="M4" t="inlineStr">
        <is>
          <t>Salud</t>
        </is>
      </c>
      <c r="N4" t="inlineStr">
        <is>
          <t>Tecnología</t>
        </is>
      </c>
      <c r="O4" t="inlineStr">
        <is>
          <t>GBP</t>
        </is>
      </c>
      <c r="P4" t="inlineStr">
        <is>
          <t>A</t>
        </is>
      </c>
      <c r="R4" t="inlineStr">
        <is>
          <t>3M</t>
        </is>
      </c>
      <c r="S4" t="inlineStr">
        <is>
          <t>Semestral</t>
        </is>
      </c>
      <c r="T4" t="n">
        <v>3</v>
      </c>
      <c r="U4" t="n">
        <v>1</v>
      </c>
      <c r="V4" t="n">
        <v>1</v>
      </c>
      <c r="W4" t="n">
        <v>1</v>
      </c>
    </row>
    <row r="5">
      <c r="B5" t="inlineStr">
        <is>
          <t>Volatilidad</t>
        </is>
      </c>
      <c r="G5" t="inlineStr">
        <is>
          <t>2023-10</t>
        </is>
      </c>
      <c r="H5" t="inlineStr">
        <is>
          <t>2024-T2</t>
        </is>
      </c>
      <c r="I5" t="inlineStr">
        <is>
          <t>2025-S1</t>
        </is>
      </c>
      <c r="K5" t="inlineStr">
        <is>
          <t>Liquidez</t>
        </is>
      </c>
      <c r="L5" t="inlineStr">
        <is>
          <t>Emergentes</t>
        </is>
      </c>
      <c r="M5" t="inlineStr">
        <is>
          <t>Energía</t>
        </is>
      </c>
      <c r="N5" t="inlineStr">
        <is>
          <t>Consumo</t>
        </is>
      </c>
      <c r="O5" t="inlineStr">
        <is>
          <t>JPY</t>
        </is>
      </c>
      <c r="P5" t="inlineStr">
        <is>
          <t>BBB</t>
        </is>
      </c>
      <c r="R5" t="inlineStr">
        <is>
          <t>6M</t>
        </is>
      </c>
      <c r="S5" t="inlineStr">
        <is>
          <t>Anual</t>
        </is>
      </c>
      <c r="T5" t="n">
        <v>6</v>
      </c>
      <c r="U5" t="n">
        <v>2</v>
      </c>
      <c r="V5" t="n">
        <v>1</v>
      </c>
      <c r="W5" t="n">
        <v>1</v>
      </c>
    </row>
    <row r="6">
      <c r="B6" t="inlineStr">
        <is>
          <t>Beta</t>
        </is>
      </c>
      <c r="G6" t="inlineStr">
        <is>
          <t>2023-11</t>
        </is>
      </c>
      <c r="H6" t="inlineStr">
        <is>
          <t>2024-T3</t>
        </is>
      </c>
      <c r="I6" t="inlineStr">
        <is>
          <t>2025-S2</t>
        </is>
      </c>
      <c r="K6" t="inlineStr">
        <is>
          <t>Derivados</t>
        </is>
      </c>
      <c r="L6" t="inlineStr">
        <is>
          <t>Latam</t>
        </is>
      </c>
      <c r="M6" t="inlineStr">
        <is>
          <t>Consumo</t>
        </is>
      </c>
      <c r="N6" t="inlineStr">
        <is>
          <t>Energía</t>
        </is>
      </c>
      <c r="O6" t="inlineStr">
        <is>
          <t>CHF</t>
        </is>
      </c>
      <c r="P6" t="inlineStr">
        <is>
          <t>BB</t>
        </is>
      </c>
      <c r="R6" t="inlineStr">
        <is>
          <t>1A</t>
        </is>
      </c>
      <c r="T6" t="n">
        <v>12</v>
      </c>
      <c r="U6" t="n">
        <v>4</v>
      </c>
      <c r="V6" t="n">
        <v>2</v>
      </c>
      <c r="W6" t="n">
        <v>1</v>
      </c>
    </row>
    <row r="7">
      <c r="G7" t="inlineStr">
        <is>
          <t>2023-12</t>
        </is>
      </c>
      <c r="H7" t="inlineStr">
        <is>
          <t>2024-T4</t>
        </is>
      </c>
      <c r="I7" t="inlineStr">
        <is>
          <t>2026-S1</t>
        </is>
      </c>
      <c r="M7" t="inlineStr">
        <is>
          <t>Industrial</t>
        </is>
      </c>
      <c r="N7" t="inlineStr">
        <is>
          <t>Salud</t>
        </is>
      </c>
      <c r="O7" t="inlineStr">
        <is>
          <t>Otras</t>
        </is>
      </c>
      <c r="P7" t="inlineStr">
        <is>
          <t>B</t>
        </is>
      </c>
      <c r="R7" t="inlineStr">
        <is>
          <t>3A</t>
        </is>
      </c>
      <c r="T7" t="n">
        <v>36</v>
      </c>
      <c r="U7" t="n">
        <v>12</v>
      </c>
      <c r="V7" t="n">
        <v>6</v>
      </c>
      <c r="W7" t="n">
        <v>3</v>
      </c>
    </row>
    <row r="8">
      <c r="G8" t="inlineStr">
        <is>
          <t>2024-01</t>
        </is>
      </c>
      <c r="H8" t="inlineStr">
        <is>
          <t>2025-T1</t>
        </is>
      </c>
      <c r="M8" t="inlineStr">
        <is>
          <t>Utilities</t>
        </is>
      </c>
    </row>
    <row r="9">
      <c r="G9" t="inlineStr">
        <is>
          <t>2024-02</t>
        </is>
      </c>
      <c r="H9" t="inlineStr">
        <is>
          <t>2025-T2</t>
        </is>
      </c>
    </row>
    <row r="10">
      <c r="G10" t="inlineStr">
        <is>
          <t>2024-03</t>
        </is>
      </c>
      <c r="H10" t="inlineStr">
        <is>
          <t>2025-T3</t>
        </is>
      </c>
    </row>
    <row r="11">
      <c r="G11" t="inlineStr">
        <is>
          <t>2024-04</t>
        </is>
      </c>
      <c r="H11" t="inlineStr">
        <is>
          <t>2025-T4</t>
        </is>
      </c>
    </row>
    <row r="12">
      <c r="G12" t="inlineStr">
        <is>
          <t>2024-05</t>
        </is>
      </c>
      <c r="H12" t="inlineStr">
        <is>
          <t>2026-T1</t>
        </is>
      </c>
    </row>
    <row r="13">
      <c r="G13" t="inlineStr">
        <is>
          <t>2024-06</t>
        </is>
      </c>
      <c r="H13" t="inlineStr">
        <is>
          <t>2026-T2</t>
        </is>
      </c>
    </row>
    <row r="14">
      <c r="G14" t="inlineStr">
        <is>
          <t>2024-07</t>
        </is>
      </c>
    </row>
    <row r="15">
      <c r="G15" t="inlineStr">
        <is>
          <t>2024-08</t>
        </is>
      </c>
    </row>
    <row r="16">
      <c r="G16" t="inlineStr">
        <is>
          <t>2024-09</t>
        </is>
      </c>
    </row>
    <row r="17">
      <c r="G17" t="inlineStr">
        <is>
          <t>2024-10</t>
        </is>
      </c>
    </row>
    <row r="18">
      <c r="G18" t="inlineStr">
        <is>
          <t>2024-11</t>
        </is>
      </c>
    </row>
    <row r="19">
      <c r="G19" t="inlineStr">
        <is>
          <t>2024-12</t>
        </is>
      </c>
    </row>
    <row r="20">
      <c r="G20" t="inlineStr">
        <is>
          <t>2025-01</t>
        </is>
      </c>
    </row>
    <row r="21">
      <c r="G21" t="inlineStr">
        <is>
          <t>2025-02</t>
        </is>
      </c>
    </row>
    <row r="22">
      <c r="G22" t="inlineStr">
        <is>
          <t>2025-03</t>
        </is>
      </c>
    </row>
    <row r="23">
      <c r="G23" t="inlineStr">
        <is>
          <t>2025-04</t>
        </is>
      </c>
    </row>
    <row r="24">
      <c r="G24" t="inlineStr">
        <is>
          <t>2025-05</t>
        </is>
      </c>
    </row>
    <row r="25">
      <c r="G25" t="inlineStr">
        <is>
          <t>2025-06</t>
        </is>
      </c>
    </row>
    <row r="26">
      <c r="G26" t="inlineStr">
        <is>
          <t>2025-07</t>
        </is>
      </c>
    </row>
    <row r="27">
      <c r="G27" t="inlineStr">
        <is>
          <t>2025-08</t>
        </is>
      </c>
    </row>
    <row r="28">
      <c r="G28" t="inlineStr">
        <is>
          <t>2025-09</t>
        </is>
      </c>
    </row>
    <row r="29">
      <c r="G29" t="inlineStr">
        <is>
          <t>2025-10</t>
        </is>
      </c>
    </row>
    <row r="30">
      <c r="G30" t="inlineStr">
        <is>
          <t>2025-11</t>
        </is>
      </c>
    </row>
    <row r="31">
      <c r="G31" t="inlineStr">
        <is>
          <t>2025-12</t>
        </is>
      </c>
    </row>
    <row r="32">
      <c r="G32" t="inlineStr">
        <is>
          <t>2026-01</t>
        </is>
      </c>
    </row>
    <row r="33">
      <c r="G33" t="inlineStr">
        <is>
          <t>2026-02</t>
        </is>
      </c>
    </row>
    <row r="34">
      <c r="G34" t="inlineStr">
        <is>
          <t>2026-03</t>
        </is>
      </c>
    </row>
    <row r="35">
      <c r="G35" t="inlineStr">
        <is>
          <t>2026-04</t>
        </is>
      </c>
    </row>
    <row r="36">
      <c r="G36" t="inlineStr">
        <is>
          <t>2026-05</t>
        </is>
      </c>
    </row>
    <row r="37">
      <c r="G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2026-06-30T12:04:23Z</dcterms:created>
  <dcterms:modified xsi:type="dcterms:W3CDTF">2026-06-30T12:04:23Z</dcterms:modified>
</cp:coreProperties>
</file>