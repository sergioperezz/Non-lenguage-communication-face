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Grupo_Rendimiento">Listas!$A$2:$A$3</definedName>
    <definedName name="Grupo_Riesgo">Listas!$B$2:$B$6</definedName>
    <definedName name="Grupo_Composicion">Listas!$C$2:$C$2</definedName>
    <definedName name="Grupo_Costes">Listas!$D$2:$D$2</definedName>
    <definedName name="Grupo_Liquidez">Listas!$E$2:$E$2</definedName>
    <definedName name="Grupo_Valoracion">Listas!$F$2:$F$3</definedName>
    <definedName name="Cat_Mensual">Listas!$G$2:$G$37</definedName>
    <definedName name="Cat_Trimestral">Listas!$H$2:$H$13</definedName>
    <definedName name="Cat_Semestral">Listas!$I$2:$I$7</definedName>
    <definedName name="Cat_Anual">Listas!$J$2:$J$4</definedName>
    <definedName name="Cat_Activo">Listas!$K$2:$K$6</definedName>
    <definedName name="Cat_Geografia">Listas!$L$2:$L$6</definedName>
    <definedName name="Cat_Industria">Listas!$M$2:$M$8</definedName>
    <definedName name="Cat_Sector">Listas!$N$2:$N$7</definedName>
    <definedName name="Cat_Divisa">Listas!$O$2:$O$7</definedName>
    <definedName name="Cat_Rating">Listas!$P$2:$P$7</definedName>
    <definedName name="Periodos">Listas!$R$2:$R$7</definedName>
    <definedName name="DimTiempo">Listas!$S$2:$S$5</definedName>
    <definedName name="TablaN">Listas!$T$2:$W$7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'Panel'!$E$3:$E$38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'Panel'!$F$3:$F$38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Fondo / Cartera</t>
        </is>
      </c>
      <c r="B3" s="4" t="inlineStr">
        <is>
          <t>Mixto Moderado</t>
        </is>
      </c>
      <c r="D3">
        <f>IF((ROW()-2)&gt;$B$12,"",INDEX(INDIRECT("Cat_"&amp;$B$6),COUNTA(INDIRECT("Cat_"&amp;$B$6))-$B$12+(ROW()-2)))</f>
        <v/>
      </c>
      <c r="E3">
        <f>IF($D3="","",SUMIFS(Datos!$G$2:$G$8833,Datos!$A$2:$A$8833,$B$3,Datos!$B$2:$B$8833,$B$13,Datos!$C$2:$C$8833,$B$5,Datos!$D$2:$D$8833,$B$6,Datos!$E$2:$E$8833,$D3,Datos!$F$2:$F$8833,"Cartera"))</f>
        <v/>
      </c>
      <c r="F3">
        <f>IF(OR($B$9="Sin benchmark",$D3=""),"",SUMIFS(Datos!$G$2:$G$8833,Datos!$A$2:$A$8833,$B$3,Datos!$B$2:$B$8833,$B$13,Datos!$C$2:$C$8833,$B$5,Datos!$D$2:$D$8833,$B$6,Datos!$E$2:$E$8833,$D3,Datos!$F$2:$F$8833,"Benchmark"))</f>
        <v/>
      </c>
    </row>
    <row r="4">
      <c r="A4" s="3" t="inlineStr">
        <is>
          <t>Grupo de métrica</t>
        </is>
      </c>
      <c r="B4" s="4" t="inlineStr">
        <is>
          <t>Riesgo</t>
        </is>
      </c>
      <c r="D4">
        <f>IF((ROW()-2)&gt;$B$12,"",INDEX(INDIRECT("Cat_"&amp;$B$6),COUNTA(INDIRECT("Cat_"&amp;$B$6))-$B$12+(ROW()-2)))</f>
        <v/>
      </c>
      <c r="E4">
        <f>IF($D4="","",SUMIFS(Datos!$G$2:$G$8833,Datos!$A$2:$A$8833,$B$3,Datos!$B$2:$B$8833,$B$13,Datos!$C$2:$C$8833,$B$5,Datos!$D$2:$D$8833,$B$6,Datos!$E$2:$E$8833,$D4,Datos!$F$2:$F$8833,"Cartera"))</f>
        <v/>
      </c>
      <c r="F4">
        <f>IF(OR($B$9="Sin benchmark",$D4=""),"",SUMIFS(Datos!$G$2:$G$8833,Datos!$A$2:$A$8833,$B$3,Datos!$B$2:$B$8833,$B$13,Datos!$C$2:$C$8833,$B$5,Datos!$D$2:$D$8833,$B$6,Datos!$E$2:$E$8833,$D4,Datos!$F$2:$F$8833,"Benchmark"))</f>
        <v/>
      </c>
    </row>
    <row r="5">
      <c r="A5" s="3" t="inlineStr">
        <is>
          <t>Métrica</t>
        </is>
      </c>
      <c r="B5" s="4" t="inlineStr">
        <is>
          <t>Duración</t>
        </is>
      </c>
      <c r="D5">
        <f>IF((ROW()-2)&gt;$B$12,"",INDEX(INDIRECT("Cat_"&amp;$B$6),COUNTA(INDIRECT("Cat_"&amp;$B$6))-$B$12+(ROW()-2)))</f>
        <v/>
      </c>
      <c r="E5">
        <f>IF($D5="","",SUMIFS(Datos!$G$2:$G$8833,Datos!$A$2:$A$8833,$B$3,Datos!$B$2:$B$8833,$B$13,Datos!$C$2:$C$8833,$B$5,Datos!$D$2:$D$8833,$B$6,Datos!$E$2:$E$8833,$D5,Datos!$F$2:$F$8833,"Cartera"))</f>
        <v/>
      </c>
      <c r="F5">
        <f>IF(OR($B$9="Sin benchmark",$D5=""),"",SUMIFS(Datos!$G$2:$G$8833,Datos!$A$2:$A$8833,$B$3,Datos!$B$2:$B$8833,$B$13,Datos!$C$2:$C$8833,$B$5,Datos!$D$2:$D$8833,$B$6,Datos!$E$2:$E$8833,$D5,Datos!$F$2:$F$8833,"Benchmark"))</f>
        <v/>
      </c>
    </row>
    <row r="6">
      <c r="A6" s="3" t="inlineStr">
        <is>
          <t>Dimensión (eje X)</t>
        </is>
      </c>
      <c r="B6" s="4" t="inlineStr">
        <is>
          <t>Trimestral</t>
        </is>
      </c>
      <c r="D6">
        <f>IF((ROW()-2)&gt;$B$12,"",INDEX(INDIRECT("Cat_"&amp;$B$6),COUNTA(INDIRECT("Cat_"&amp;$B$6))-$B$12+(ROW()-2)))</f>
        <v/>
      </c>
      <c r="E6">
        <f>IF($D6="","",SUMIFS(Datos!$G$2:$G$8833,Datos!$A$2:$A$8833,$B$3,Datos!$B$2:$B$8833,$B$13,Datos!$C$2:$C$8833,$B$5,Datos!$D$2:$D$8833,$B$6,Datos!$E$2:$E$8833,$D6,Datos!$F$2:$F$8833,"Cartera"))</f>
        <v/>
      </c>
      <c r="F6">
        <f>IF(OR($B$9="Sin benchmark",$D6=""),"",SUMIFS(Datos!$G$2:$G$8833,Datos!$A$2:$A$8833,$B$3,Datos!$B$2:$B$8833,$B$13,Datos!$C$2:$C$8833,$B$5,Datos!$D$2:$D$8833,$B$6,Datos!$E$2:$E$8833,$D6,Datos!$F$2:$F$8833,"Benchmark"))</f>
        <v/>
      </c>
    </row>
    <row r="7">
      <c r="A7" s="3" t="inlineStr">
        <is>
          <t>Filtro: tipo de activo</t>
        </is>
      </c>
      <c r="B7" s="4" t="inlineStr">
        <is>
          <t>Todos</t>
        </is>
      </c>
      <c r="D7">
        <f>IF((ROW()-2)&gt;$B$12,"",INDEX(INDIRECT("Cat_"&amp;$B$6),COUNTA(INDIRECT("Cat_"&amp;$B$6))-$B$12+(ROW()-2)))</f>
        <v/>
      </c>
      <c r="E7">
        <f>IF($D7="","",SUMIFS(Datos!$G$2:$G$8833,Datos!$A$2:$A$8833,$B$3,Datos!$B$2:$B$8833,$B$13,Datos!$C$2:$C$8833,$B$5,Datos!$D$2:$D$8833,$B$6,Datos!$E$2:$E$8833,$D7,Datos!$F$2:$F$8833,"Cartera"))</f>
        <v/>
      </c>
      <c r="F7">
        <f>IF(OR($B$9="Sin benchmark",$D7=""),"",SUMIFS(Datos!$G$2:$G$8833,Datos!$A$2:$A$8833,$B$3,Datos!$B$2:$B$8833,$B$13,Datos!$C$2:$C$8833,$B$5,Datos!$D$2:$D$8833,$B$6,Datos!$E$2:$E$8833,$D7,Datos!$F$2:$F$8833,"Benchmark"))</f>
        <v/>
      </c>
    </row>
    <row r="8">
      <c r="A8" s="3" t="inlineStr">
        <is>
          <t>Periodo</t>
        </is>
      </c>
      <c r="B8" s="4" t="inlineStr">
        <is>
          <t>3A</t>
        </is>
      </c>
      <c r="D8">
        <f>IF((ROW()-2)&gt;$B$12,"",INDEX(INDIRECT("Cat_"&amp;$B$6),COUNTA(INDIRECT("Cat_"&amp;$B$6))-$B$12+(ROW()-2)))</f>
        <v/>
      </c>
      <c r="E8">
        <f>IF($D8="","",SUMIFS(Datos!$G$2:$G$8833,Datos!$A$2:$A$8833,$B$3,Datos!$B$2:$B$8833,$B$13,Datos!$C$2:$C$8833,$B$5,Datos!$D$2:$D$8833,$B$6,Datos!$E$2:$E$8833,$D8,Datos!$F$2:$F$8833,"Cartera"))</f>
        <v/>
      </c>
      <c r="F8">
        <f>IF(OR($B$9="Sin benchmark",$D8=""),"",SUMIFS(Datos!$G$2:$G$8833,Datos!$A$2:$A$8833,$B$3,Datos!$B$2:$B$8833,$B$13,Datos!$C$2:$C$8833,$B$5,Datos!$D$2:$D$8833,$B$6,Datos!$E$2:$E$8833,$D8,Datos!$F$2:$F$8833,"Benchmark"))</f>
        <v/>
      </c>
    </row>
    <row r="9">
      <c r="A9" s="3" t="inlineStr">
        <is>
          <t>Benchmark</t>
        </is>
      </c>
      <c r="B9" s="4" t="inlineStr">
        <is>
          <t>Con benchmark</t>
        </is>
      </c>
      <c r="D9">
        <f>IF((ROW()-2)&gt;$B$12,"",INDEX(INDIRECT("Cat_"&amp;$B$6),COUNTA(INDIRECT("Cat_"&amp;$B$6))-$B$12+(ROW()-2)))</f>
        <v/>
      </c>
      <c r="E9">
        <f>IF($D9="","",SUMIFS(Datos!$G$2:$G$8833,Datos!$A$2:$A$8833,$B$3,Datos!$B$2:$B$8833,$B$13,Datos!$C$2:$C$8833,$B$5,Datos!$D$2:$D$8833,$B$6,Datos!$E$2:$E$8833,$D9,Datos!$F$2:$F$8833,"Cartera"))</f>
        <v/>
      </c>
      <c r="F9">
        <f>IF(OR($B$9="Sin benchmark",$D9=""),"",SUMIFS(Datos!$G$2:$G$8833,Datos!$A$2:$A$8833,$B$3,Datos!$B$2:$B$8833,$B$13,Datos!$C$2:$C$8833,$B$5,Datos!$D$2:$D$8833,$B$6,Datos!$E$2:$E$8833,$D9,Datos!$F$2:$F$8833,"Benchmark"))</f>
        <v/>
      </c>
    </row>
    <row r="10">
      <c r="A10" s="3" t="inlineStr">
        <is>
          <t>Tipo de gráfico</t>
        </is>
      </c>
      <c r="B10" s="4" t="inlineStr">
        <is>
          <t>Columnas</t>
        </is>
      </c>
      <c r="D10">
        <f>IF((ROW()-2)&gt;$B$12,"",INDEX(INDIRECT("Cat_"&amp;$B$6),COUNTA(INDIRECT("Cat_"&amp;$B$6))-$B$12+(ROW()-2)))</f>
        <v/>
      </c>
      <c r="E10">
        <f>IF($D10="","",SUMIFS(Datos!$G$2:$G$8833,Datos!$A$2:$A$8833,$B$3,Datos!$B$2:$B$8833,$B$13,Datos!$C$2:$C$8833,$B$5,Datos!$D$2:$D$8833,$B$6,Datos!$E$2:$E$8833,$D10,Datos!$F$2:$F$8833,"Cartera"))</f>
        <v/>
      </c>
      <c r="F10">
        <f>IF(OR($B$9="Sin benchmark",$D10=""),"",SUMIFS(Datos!$G$2:$G$8833,Datos!$A$2:$A$8833,$B$3,Datos!$B$2:$B$8833,$B$13,Datos!$C$2:$C$8833,$B$5,Datos!$D$2:$D$8833,$B$6,Datos!$E$2:$E$8833,$D10,Datos!$F$2:$F$8833,"Benchmark"))</f>
        <v/>
      </c>
    </row>
    <row r="11">
      <c r="D11">
        <f>IF((ROW()-2)&gt;$B$12,"",INDEX(INDIRECT("Cat_"&amp;$B$6),COUNTA(INDIRECT("Cat_"&amp;$B$6))-$B$12+(ROW()-2)))</f>
        <v/>
      </c>
      <c r="E11">
        <f>IF($D11="","",SUMIFS(Datos!$G$2:$G$8833,Datos!$A$2:$A$8833,$B$3,Datos!$B$2:$B$8833,$B$13,Datos!$C$2:$C$8833,$B$5,Datos!$D$2:$D$8833,$B$6,Datos!$E$2:$E$8833,$D11,Datos!$F$2:$F$8833,"Cartera"))</f>
        <v/>
      </c>
      <c r="F11">
        <f>IF(OR($B$9="Sin benchmark",$D11=""),"",SUMIFS(Datos!$G$2:$G$8833,Datos!$A$2:$A$8833,$B$3,Datos!$B$2:$B$8833,$B$13,Datos!$C$2:$C$8833,$B$5,Datos!$D$2:$D$8833,$B$6,Datos!$E$2:$E$8833,$D11,Datos!$F$2:$F$8833,"Benchmark"))</f>
        <v/>
      </c>
    </row>
    <row r="12">
      <c r="A12" s="5" t="inlineStr">
        <is>
          <t>Buckets visibles</t>
        </is>
      </c>
      <c r="B12">
        <f>IFERROR(INDEX(TablaN,MATCH($B$8,Periodos,0),MATCH($B$6,DimTiempo,0)),COUNTA(INDIRECT("Cat_"&amp;$B$6)))</f>
        <v/>
      </c>
      <c r="D12">
        <f>IF((ROW()-2)&gt;$B$12,"",INDEX(INDIRECT("Cat_"&amp;$B$6),COUNTA(INDIRECT("Cat_"&amp;$B$6))-$B$12+(ROW()-2)))</f>
        <v/>
      </c>
      <c r="E12">
        <f>IF($D12="","",SUMIFS(Datos!$G$2:$G$8833,Datos!$A$2:$A$8833,$B$3,Datos!$B$2:$B$8833,$B$13,Datos!$C$2:$C$8833,$B$5,Datos!$D$2:$D$8833,$B$6,Datos!$E$2:$E$8833,$D12,Datos!$F$2:$F$8833,"Cartera"))</f>
        <v/>
      </c>
      <c r="F12">
        <f>IF(OR($B$9="Sin benchmark",$D12=""),"",SUMIFS(Datos!$G$2:$G$8833,Datos!$A$2:$A$8833,$B$3,Datos!$B$2:$B$8833,$B$13,Datos!$C$2:$C$8833,$B$5,Datos!$D$2:$D$8833,$B$6,Datos!$E$2:$E$8833,$D12,Datos!$F$2:$F$8833,"Benchmark"))</f>
        <v/>
      </c>
    </row>
    <row r="13">
      <c r="A13" s="5" t="inlineStr">
        <is>
          <t>Criterio tipo activo</t>
        </is>
      </c>
      <c r="B13">
        <f>IF($B$7="Todos","*",$B$7)</f>
        <v/>
      </c>
      <c r="D13">
        <f>IF((ROW()-2)&gt;$B$12,"",INDEX(INDIRECT("Cat_"&amp;$B$6),COUNTA(INDIRECT("Cat_"&amp;$B$6))-$B$12+(ROW()-2)))</f>
        <v/>
      </c>
      <c r="E13">
        <f>IF($D13="","",SUMIFS(Datos!$G$2:$G$8833,Datos!$A$2:$A$8833,$B$3,Datos!$B$2:$B$8833,$B$13,Datos!$C$2:$C$8833,$B$5,Datos!$D$2:$D$8833,$B$6,Datos!$E$2:$E$8833,$D13,Datos!$F$2:$F$8833,"Cartera"))</f>
        <v/>
      </c>
      <c r="F13">
        <f>IF(OR($B$9="Sin benchmark",$D13=""),"",SUMIFS(Datos!$G$2:$G$8833,Datos!$A$2:$A$8833,$B$3,Datos!$B$2:$B$8833,$B$13,Datos!$C$2:$C$8833,$B$5,Datos!$D$2:$D$8833,$B$6,Datos!$E$2:$E$8833,$D13,Datos!$F$2:$F$8833,"Benchmark"))</f>
        <v/>
      </c>
    </row>
    <row r="14">
      <c r="D14">
        <f>IF((ROW()-2)&gt;$B$12,"",INDEX(INDIRECT("Cat_"&amp;$B$6),COUNTA(INDIRECT("Cat_"&amp;$B$6))-$B$12+(ROW()-2)))</f>
        <v/>
      </c>
      <c r="E14">
        <f>IF($D14="","",SUMIFS(Datos!$G$2:$G$8833,Datos!$A$2:$A$8833,$B$3,Datos!$B$2:$B$8833,$B$13,Datos!$C$2:$C$8833,$B$5,Datos!$D$2:$D$8833,$B$6,Datos!$E$2:$E$8833,$D14,Datos!$F$2:$F$8833,"Cartera"))</f>
        <v/>
      </c>
      <c r="F14">
        <f>IF(OR($B$9="Sin benchmark",$D14=""),"",SUMIFS(Datos!$G$2:$G$8833,Datos!$A$2:$A$8833,$B$3,Datos!$B$2:$B$8833,$B$13,Datos!$C$2:$C$8833,$B$5,Datos!$D$2:$D$8833,$B$6,Datos!$E$2:$E$8833,$D14,Datos!$F$2:$F$8833,"Benchmark"))</f>
        <v/>
      </c>
    </row>
    <row r="15">
      <c r="A15" s="6">
        <f>"Fondo: "&amp;B3&amp;"  ·  "&amp;B5&amp;" por "&amp;B6&amp;"  ·  "&amp;B8&amp;IF(B9="Con benchmark","  ·  vs benchmark","")</f>
        <v/>
      </c>
      <c r="D15">
        <f>IF((ROW()-2)&gt;$B$12,"",INDEX(INDIRECT("Cat_"&amp;$B$6),COUNTA(INDIRECT("Cat_"&amp;$B$6))-$B$12+(ROW()-2)))</f>
        <v/>
      </c>
      <c r="E15">
        <f>IF($D15="","",SUMIFS(Datos!$G$2:$G$8833,Datos!$A$2:$A$8833,$B$3,Datos!$B$2:$B$8833,$B$13,Datos!$C$2:$C$8833,$B$5,Datos!$D$2:$D$8833,$B$6,Datos!$E$2:$E$8833,$D15,Datos!$F$2:$F$8833,"Cartera"))</f>
        <v/>
      </c>
      <c r="F15">
        <f>IF(OR($B$9="Sin benchmark",$D15=""),"",SUMIFS(Datos!$G$2:$G$8833,Datos!$A$2:$A$8833,$B$3,Datos!$B$2:$B$8833,$B$13,Datos!$C$2:$C$8833,$B$5,Datos!$D$2:$D$8833,$B$6,Datos!$E$2:$E$8833,$D15,Datos!$F$2:$F$8833,"Benchmark"))</f>
        <v/>
      </c>
    </row>
    <row r="16">
      <c r="D16">
        <f>IF((ROW()-2)&gt;$B$12,"",INDEX(INDIRECT("Cat_"&amp;$B$6),COUNTA(INDIRECT("Cat_"&amp;$B$6))-$B$12+(ROW()-2)))</f>
        <v/>
      </c>
      <c r="E16">
        <f>IF($D16="","",SUMIFS(Datos!$G$2:$G$8833,Datos!$A$2:$A$8833,$B$3,Datos!$B$2:$B$8833,$B$13,Datos!$C$2:$C$8833,$B$5,Datos!$D$2:$D$8833,$B$6,Datos!$E$2:$E$8833,$D16,Datos!$F$2:$F$8833,"Cartera"))</f>
        <v/>
      </c>
      <c r="F16">
        <f>IF(OR($B$9="Sin benchmark",$D16=""),"",SUMIFS(Datos!$G$2:$G$8833,Datos!$A$2:$A$8833,$B$3,Datos!$B$2:$B$8833,$B$13,Datos!$C$2:$C$8833,$B$5,Datos!$D$2:$D$8833,$B$6,Datos!$E$2:$E$8833,$D16,Datos!$F$2:$F$8833,"Benchmark"))</f>
        <v/>
      </c>
    </row>
    <row r="17">
      <c r="D17">
        <f>IF((ROW()-2)&gt;$B$12,"",INDEX(INDIRECT("Cat_"&amp;$B$6),COUNTA(INDIRECT("Cat_"&amp;$B$6))-$B$12+(ROW()-2)))</f>
        <v/>
      </c>
      <c r="E17">
        <f>IF($D17="","",SUMIFS(Datos!$G$2:$G$8833,Datos!$A$2:$A$8833,$B$3,Datos!$B$2:$B$8833,$B$13,Datos!$C$2:$C$8833,$B$5,Datos!$D$2:$D$8833,$B$6,Datos!$E$2:$E$8833,$D17,Datos!$F$2:$F$8833,"Cartera"))</f>
        <v/>
      </c>
      <c r="F17">
        <f>IF(OR($B$9="Sin benchmark",$D17=""),"",SUMIFS(Datos!$G$2:$G$8833,Datos!$A$2:$A$8833,$B$3,Datos!$B$2:$B$8833,$B$13,Datos!$C$2:$C$8833,$B$5,Datos!$D$2:$D$8833,$B$6,Datos!$E$2:$E$8833,$D17,Datos!$F$2:$F$8833,"Benchmark"))</f>
        <v/>
      </c>
    </row>
    <row r="18">
      <c r="D18">
        <f>IF((ROW()-2)&gt;$B$12,"",INDEX(INDIRECT("Cat_"&amp;$B$6),COUNTA(INDIRECT("Cat_"&amp;$B$6))-$B$12+(ROW()-2)))</f>
        <v/>
      </c>
      <c r="E18">
        <f>IF($D18="","",SUMIFS(Datos!$G$2:$G$8833,Datos!$A$2:$A$8833,$B$3,Datos!$B$2:$B$8833,$B$13,Datos!$C$2:$C$8833,$B$5,Datos!$D$2:$D$8833,$B$6,Datos!$E$2:$E$8833,$D18,Datos!$F$2:$F$8833,"Cartera"))</f>
        <v/>
      </c>
      <c r="F18">
        <f>IF(OR($B$9="Sin benchmark",$D18=""),"",SUMIFS(Datos!$G$2:$G$8833,Datos!$A$2:$A$8833,$B$3,Datos!$B$2:$B$8833,$B$13,Datos!$C$2:$C$8833,$B$5,Datos!$D$2:$D$8833,$B$6,Datos!$E$2:$E$8833,$D18,Datos!$F$2:$F$8833,"Benchmark"))</f>
        <v/>
      </c>
    </row>
    <row r="19">
      <c r="D19">
        <f>IF((ROW()-2)&gt;$B$12,"",INDEX(INDIRECT("Cat_"&amp;$B$6),COUNTA(INDIRECT("Cat_"&amp;$B$6))-$B$12+(ROW()-2)))</f>
        <v/>
      </c>
      <c r="E19">
        <f>IF($D19="","",SUMIFS(Datos!$G$2:$G$8833,Datos!$A$2:$A$8833,$B$3,Datos!$B$2:$B$8833,$B$13,Datos!$C$2:$C$8833,$B$5,Datos!$D$2:$D$8833,$B$6,Datos!$E$2:$E$8833,$D19,Datos!$F$2:$F$8833,"Cartera"))</f>
        <v/>
      </c>
      <c r="F19">
        <f>IF(OR($B$9="Sin benchmark",$D19=""),"",SUMIFS(Datos!$G$2:$G$8833,Datos!$A$2:$A$8833,$B$3,Datos!$B$2:$B$8833,$B$13,Datos!$C$2:$C$8833,$B$5,Datos!$D$2:$D$8833,$B$6,Datos!$E$2:$E$8833,$D19,Datos!$F$2:$F$8833,"Benchmark"))</f>
        <v/>
      </c>
    </row>
    <row r="20">
      <c r="D20">
        <f>IF((ROW()-2)&gt;$B$12,"",INDEX(INDIRECT("Cat_"&amp;$B$6),COUNTA(INDIRECT("Cat_"&amp;$B$6))-$B$12+(ROW()-2)))</f>
        <v/>
      </c>
      <c r="E20">
        <f>IF($D20="","",SUMIFS(Datos!$G$2:$G$8833,Datos!$A$2:$A$8833,$B$3,Datos!$B$2:$B$8833,$B$13,Datos!$C$2:$C$8833,$B$5,Datos!$D$2:$D$8833,$B$6,Datos!$E$2:$E$8833,$D20,Datos!$F$2:$F$8833,"Cartera"))</f>
        <v/>
      </c>
      <c r="F20">
        <f>IF(OR($B$9="Sin benchmark",$D20=""),"",SUMIFS(Datos!$G$2:$G$8833,Datos!$A$2:$A$8833,$B$3,Datos!$B$2:$B$8833,$B$13,Datos!$C$2:$C$8833,$B$5,Datos!$D$2:$D$8833,$B$6,Datos!$E$2:$E$8833,$D20,Datos!$F$2:$F$8833,"Benchmark"))</f>
        <v/>
      </c>
    </row>
    <row r="21">
      <c r="D21">
        <f>IF((ROW()-2)&gt;$B$12,"",INDEX(INDIRECT("Cat_"&amp;$B$6),COUNTA(INDIRECT("Cat_"&amp;$B$6))-$B$12+(ROW()-2)))</f>
        <v/>
      </c>
      <c r="E21">
        <f>IF($D21="","",SUMIFS(Datos!$G$2:$G$8833,Datos!$A$2:$A$8833,$B$3,Datos!$B$2:$B$8833,$B$13,Datos!$C$2:$C$8833,$B$5,Datos!$D$2:$D$8833,$B$6,Datos!$E$2:$E$8833,$D21,Datos!$F$2:$F$8833,"Cartera"))</f>
        <v/>
      </c>
      <c r="F21">
        <f>IF(OR($B$9="Sin benchmark",$D21=""),"",SUMIFS(Datos!$G$2:$G$8833,Datos!$A$2:$A$8833,$B$3,Datos!$B$2:$B$8833,$B$13,Datos!$C$2:$C$8833,$B$5,Datos!$D$2:$D$8833,$B$6,Datos!$E$2:$E$8833,$D21,Datos!$F$2:$F$8833,"Benchmark"))</f>
        <v/>
      </c>
    </row>
    <row r="22">
      <c r="D22">
        <f>IF((ROW()-2)&gt;$B$12,"",INDEX(INDIRECT("Cat_"&amp;$B$6),COUNTA(INDIRECT("Cat_"&amp;$B$6))-$B$12+(ROW()-2)))</f>
        <v/>
      </c>
      <c r="E22">
        <f>IF($D22="","",SUMIFS(Datos!$G$2:$G$8833,Datos!$A$2:$A$8833,$B$3,Datos!$B$2:$B$8833,$B$13,Datos!$C$2:$C$8833,$B$5,Datos!$D$2:$D$8833,$B$6,Datos!$E$2:$E$8833,$D22,Datos!$F$2:$F$8833,"Cartera"))</f>
        <v/>
      </c>
      <c r="F22">
        <f>IF(OR($B$9="Sin benchmark",$D22=""),"",SUMIFS(Datos!$G$2:$G$8833,Datos!$A$2:$A$8833,$B$3,Datos!$B$2:$B$8833,$B$13,Datos!$C$2:$C$8833,$B$5,Datos!$D$2:$D$8833,$B$6,Datos!$E$2:$E$8833,$D22,Datos!$F$2:$F$8833,"Benchmark"))</f>
        <v/>
      </c>
    </row>
    <row r="23">
      <c r="D23">
        <f>IF((ROW()-2)&gt;$B$12,"",INDEX(INDIRECT("Cat_"&amp;$B$6),COUNTA(INDIRECT("Cat_"&amp;$B$6))-$B$12+(ROW()-2)))</f>
        <v/>
      </c>
      <c r="E23">
        <f>IF($D23="","",SUMIFS(Datos!$G$2:$G$8833,Datos!$A$2:$A$8833,$B$3,Datos!$B$2:$B$8833,$B$13,Datos!$C$2:$C$8833,$B$5,Datos!$D$2:$D$8833,$B$6,Datos!$E$2:$E$8833,$D23,Datos!$F$2:$F$8833,"Cartera"))</f>
        <v/>
      </c>
      <c r="F23">
        <f>IF(OR($B$9="Sin benchmark",$D23=""),"",SUMIFS(Datos!$G$2:$G$8833,Datos!$A$2:$A$8833,$B$3,Datos!$B$2:$B$8833,$B$13,Datos!$C$2:$C$8833,$B$5,Datos!$D$2:$D$8833,$B$6,Datos!$E$2:$E$8833,$D23,Datos!$F$2:$F$8833,"Benchmark"))</f>
        <v/>
      </c>
    </row>
    <row r="24">
      <c r="D24">
        <f>IF((ROW()-2)&gt;$B$12,"",INDEX(INDIRECT("Cat_"&amp;$B$6),COUNTA(INDIRECT("Cat_"&amp;$B$6))-$B$12+(ROW()-2)))</f>
        <v/>
      </c>
      <c r="E24">
        <f>IF($D24="","",SUMIFS(Datos!$G$2:$G$8833,Datos!$A$2:$A$8833,$B$3,Datos!$B$2:$B$8833,$B$13,Datos!$C$2:$C$8833,$B$5,Datos!$D$2:$D$8833,$B$6,Datos!$E$2:$E$8833,$D24,Datos!$F$2:$F$8833,"Cartera"))</f>
        <v/>
      </c>
      <c r="F24">
        <f>IF(OR($B$9="Sin benchmark",$D24=""),"",SUMIFS(Datos!$G$2:$G$8833,Datos!$A$2:$A$8833,$B$3,Datos!$B$2:$B$8833,$B$13,Datos!$C$2:$C$8833,$B$5,Datos!$D$2:$D$8833,$B$6,Datos!$E$2:$E$8833,$D24,Datos!$F$2:$F$8833,"Benchmark"))</f>
        <v/>
      </c>
    </row>
    <row r="25">
      <c r="D25">
        <f>IF((ROW()-2)&gt;$B$12,"",INDEX(INDIRECT("Cat_"&amp;$B$6),COUNTA(INDIRECT("Cat_"&amp;$B$6))-$B$12+(ROW()-2)))</f>
        <v/>
      </c>
      <c r="E25">
        <f>IF($D25="","",SUMIFS(Datos!$G$2:$G$8833,Datos!$A$2:$A$8833,$B$3,Datos!$B$2:$B$8833,$B$13,Datos!$C$2:$C$8833,$B$5,Datos!$D$2:$D$8833,$B$6,Datos!$E$2:$E$8833,$D25,Datos!$F$2:$F$8833,"Cartera"))</f>
        <v/>
      </c>
      <c r="F25">
        <f>IF(OR($B$9="Sin benchmark",$D25=""),"",SUMIFS(Datos!$G$2:$G$8833,Datos!$A$2:$A$8833,$B$3,Datos!$B$2:$B$8833,$B$13,Datos!$C$2:$C$8833,$B$5,Datos!$D$2:$D$8833,$B$6,Datos!$E$2:$E$8833,$D25,Datos!$F$2:$F$8833,"Benchmark"))</f>
        <v/>
      </c>
    </row>
    <row r="26">
      <c r="D26">
        <f>IF((ROW()-2)&gt;$B$12,"",INDEX(INDIRECT("Cat_"&amp;$B$6),COUNTA(INDIRECT("Cat_"&amp;$B$6))-$B$12+(ROW()-2)))</f>
        <v/>
      </c>
      <c r="E26">
        <f>IF($D26="","",SUMIFS(Datos!$G$2:$G$8833,Datos!$A$2:$A$8833,$B$3,Datos!$B$2:$B$8833,$B$13,Datos!$C$2:$C$8833,$B$5,Datos!$D$2:$D$8833,$B$6,Datos!$E$2:$E$8833,$D26,Datos!$F$2:$F$8833,"Cartera"))</f>
        <v/>
      </c>
      <c r="F26">
        <f>IF(OR($B$9="Sin benchmark",$D26=""),"",SUMIFS(Datos!$G$2:$G$8833,Datos!$A$2:$A$8833,$B$3,Datos!$B$2:$B$8833,$B$13,Datos!$C$2:$C$8833,$B$5,Datos!$D$2:$D$8833,$B$6,Datos!$E$2:$E$8833,$D26,Datos!$F$2:$F$8833,"Benchmark"))</f>
        <v/>
      </c>
    </row>
    <row r="27">
      <c r="D27">
        <f>IF((ROW()-2)&gt;$B$12,"",INDEX(INDIRECT("Cat_"&amp;$B$6),COUNTA(INDIRECT("Cat_"&amp;$B$6))-$B$12+(ROW()-2)))</f>
        <v/>
      </c>
      <c r="E27">
        <f>IF($D27="","",SUMIFS(Datos!$G$2:$G$8833,Datos!$A$2:$A$8833,$B$3,Datos!$B$2:$B$8833,$B$13,Datos!$C$2:$C$8833,$B$5,Datos!$D$2:$D$8833,$B$6,Datos!$E$2:$E$8833,$D27,Datos!$F$2:$F$8833,"Cartera"))</f>
        <v/>
      </c>
      <c r="F27">
        <f>IF(OR($B$9="Sin benchmark",$D27=""),"",SUMIFS(Datos!$G$2:$G$8833,Datos!$A$2:$A$8833,$B$3,Datos!$B$2:$B$8833,$B$13,Datos!$C$2:$C$8833,$B$5,Datos!$D$2:$D$8833,$B$6,Datos!$E$2:$E$8833,$D27,Datos!$F$2:$F$8833,"Benchmark"))</f>
        <v/>
      </c>
    </row>
    <row r="28">
      <c r="D28">
        <f>IF((ROW()-2)&gt;$B$12,"",INDEX(INDIRECT("Cat_"&amp;$B$6),COUNTA(INDIRECT("Cat_"&amp;$B$6))-$B$12+(ROW()-2)))</f>
        <v/>
      </c>
      <c r="E28">
        <f>IF($D28="","",SUMIFS(Datos!$G$2:$G$8833,Datos!$A$2:$A$8833,$B$3,Datos!$B$2:$B$8833,$B$13,Datos!$C$2:$C$8833,$B$5,Datos!$D$2:$D$8833,$B$6,Datos!$E$2:$E$8833,$D28,Datos!$F$2:$F$8833,"Cartera"))</f>
        <v/>
      </c>
      <c r="F28">
        <f>IF(OR($B$9="Sin benchmark",$D28=""),"",SUMIFS(Datos!$G$2:$G$8833,Datos!$A$2:$A$8833,$B$3,Datos!$B$2:$B$8833,$B$13,Datos!$C$2:$C$8833,$B$5,Datos!$D$2:$D$8833,$B$6,Datos!$E$2:$E$8833,$D28,Datos!$F$2:$F$8833,"Benchmark"))</f>
        <v/>
      </c>
    </row>
    <row r="29">
      <c r="D29">
        <f>IF((ROW()-2)&gt;$B$12,"",INDEX(INDIRECT("Cat_"&amp;$B$6),COUNTA(INDIRECT("Cat_"&amp;$B$6))-$B$12+(ROW()-2)))</f>
        <v/>
      </c>
      <c r="E29">
        <f>IF($D29="","",SUMIFS(Datos!$G$2:$G$8833,Datos!$A$2:$A$8833,$B$3,Datos!$B$2:$B$8833,$B$13,Datos!$C$2:$C$8833,$B$5,Datos!$D$2:$D$8833,$B$6,Datos!$E$2:$E$8833,$D29,Datos!$F$2:$F$8833,"Cartera"))</f>
        <v/>
      </c>
      <c r="F29">
        <f>IF(OR($B$9="Sin benchmark",$D29=""),"",SUMIFS(Datos!$G$2:$G$8833,Datos!$A$2:$A$8833,$B$3,Datos!$B$2:$B$8833,$B$13,Datos!$C$2:$C$8833,$B$5,Datos!$D$2:$D$8833,$B$6,Datos!$E$2:$E$8833,$D29,Datos!$F$2:$F$8833,"Benchmark"))</f>
        <v/>
      </c>
    </row>
    <row r="30">
      <c r="D30">
        <f>IF((ROW()-2)&gt;$B$12,"",INDEX(INDIRECT("Cat_"&amp;$B$6),COUNTA(INDIRECT("Cat_"&amp;$B$6))-$B$12+(ROW()-2)))</f>
        <v/>
      </c>
      <c r="E30">
        <f>IF($D30="","",SUMIFS(Datos!$G$2:$G$8833,Datos!$A$2:$A$8833,$B$3,Datos!$B$2:$B$8833,$B$13,Datos!$C$2:$C$8833,$B$5,Datos!$D$2:$D$8833,$B$6,Datos!$E$2:$E$8833,$D30,Datos!$F$2:$F$8833,"Cartera"))</f>
        <v/>
      </c>
      <c r="F30">
        <f>IF(OR($B$9="Sin benchmark",$D30=""),"",SUMIFS(Datos!$G$2:$G$8833,Datos!$A$2:$A$8833,$B$3,Datos!$B$2:$B$8833,$B$13,Datos!$C$2:$C$8833,$B$5,Datos!$D$2:$D$8833,$B$6,Datos!$E$2:$E$8833,$D30,Datos!$F$2:$F$8833,"Benchmark"))</f>
        <v/>
      </c>
    </row>
    <row r="31">
      <c r="D31">
        <f>IF((ROW()-2)&gt;$B$12,"",INDEX(INDIRECT("Cat_"&amp;$B$6),COUNTA(INDIRECT("Cat_"&amp;$B$6))-$B$12+(ROW()-2)))</f>
        <v/>
      </c>
      <c r="E31">
        <f>IF($D31="","",SUMIFS(Datos!$G$2:$G$8833,Datos!$A$2:$A$8833,$B$3,Datos!$B$2:$B$8833,$B$13,Datos!$C$2:$C$8833,$B$5,Datos!$D$2:$D$8833,$B$6,Datos!$E$2:$E$8833,$D31,Datos!$F$2:$F$8833,"Cartera"))</f>
        <v/>
      </c>
      <c r="F31">
        <f>IF(OR($B$9="Sin benchmark",$D31=""),"",SUMIFS(Datos!$G$2:$G$8833,Datos!$A$2:$A$8833,$B$3,Datos!$B$2:$B$8833,$B$13,Datos!$C$2:$C$8833,$B$5,Datos!$D$2:$D$8833,$B$6,Datos!$E$2:$E$8833,$D31,Datos!$F$2:$F$8833,"Benchmark"))</f>
        <v/>
      </c>
    </row>
    <row r="32">
      <c r="D32">
        <f>IF((ROW()-2)&gt;$B$12,"",INDEX(INDIRECT("Cat_"&amp;$B$6),COUNTA(INDIRECT("Cat_"&amp;$B$6))-$B$12+(ROW()-2)))</f>
        <v/>
      </c>
      <c r="E32">
        <f>IF($D32="","",SUMIFS(Datos!$G$2:$G$8833,Datos!$A$2:$A$8833,$B$3,Datos!$B$2:$B$8833,$B$13,Datos!$C$2:$C$8833,$B$5,Datos!$D$2:$D$8833,$B$6,Datos!$E$2:$E$8833,$D32,Datos!$F$2:$F$8833,"Cartera"))</f>
        <v/>
      </c>
      <c r="F32">
        <f>IF(OR($B$9="Sin benchmark",$D32=""),"",SUMIFS(Datos!$G$2:$G$8833,Datos!$A$2:$A$8833,$B$3,Datos!$B$2:$B$8833,$B$13,Datos!$C$2:$C$8833,$B$5,Datos!$D$2:$D$8833,$B$6,Datos!$E$2:$E$8833,$D32,Datos!$F$2:$F$8833,"Benchmark"))</f>
        <v/>
      </c>
    </row>
    <row r="33">
      <c r="D33">
        <f>IF((ROW()-2)&gt;$B$12,"",INDEX(INDIRECT("Cat_"&amp;$B$6),COUNTA(INDIRECT("Cat_"&amp;$B$6))-$B$12+(ROW()-2)))</f>
        <v/>
      </c>
      <c r="E33">
        <f>IF($D33="","",SUMIFS(Datos!$G$2:$G$8833,Datos!$A$2:$A$8833,$B$3,Datos!$B$2:$B$8833,$B$13,Datos!$C$2:$C$8833,$B$5,Datos!$D$2:$D$8833,$B$6,Datos!$E$2:$E$8833,$D33,Datos!$F$2:$F$8833,"Cartera"))</f>
        <v/>
      </c>
      <c r="F33">
        <f>IF(OR($B$9="Sin benchmark",$D33=""),"",SUMIFS(Datos!$G$2:$G$8833,Datos!$A$2:$A$8833,$B$3,Datos!$B$2:$B$8833,$B$13,Datos!$C$2:$C$8833,$B$5,Datos!$D$2:$D$8833,$B$6,Datos!$E$2:$E$8833,$D33,Datos!$F$2:$F$8833,"Benchmark"))</f>
        <v/>
      </c>
    </row>
    <row r="34">
      <c r="D34">
        <f>IF((ROW()-2)&gt;$B$12,"",INDEX(INDIRECT("Cat_"&amp;$B$6),COUNTA(INDIRECT("Cat_"&amp;$B$6))-$B$12+(ROW()-2)))</f>
        <v/>
      </c>
      <c r="E34">
        <f>IF($D34="","",SUMIFS(Datos!$G$2:$G$8833,Datos!$A$2:$A$8833,$B$3,Datos!$B$2:$B$8833,$B$13,Datos!$C$2:$C$8833,$B$5,Datos!$D$2:$D$8833,$B$6,Datos!$E$2:$E$8833,$D34,Datos!$F$2:$F$8833,"Cartera"))</f>
        <v/>
      </c>
      <c r="F34">
        <f>IF(OR($B$9="Sin benchmark",$D34=""),"",SUMIFS(Datos!$G$2:$G$8833,Datos!$A$2:$A$8833,$B$3,Datos!$B$2:$B$8833,$B$13,Datos!$C$2:$C$8833,$B$5,Datos!$D$2:$D$8833,$B$6,Datos!$E$2:$E$8833,$D34,Datos!$F$2:$F$8833,"Benchmark"))</f>
        <v/>
      </c>
    </row>
    <row r="35">
      <c r="D35">
        <f>IF((ROW()-2)&gt;$B$12,"",INDEX(INDIRECT("Cat_"&amp;$B$6),COUNTA(INDIRECT("Cat_"&amp;$B$6))-$B$12+(ROW()-2)))</f>
        <v/>
      </c>
      <c r="E35">
        <f>IF($D35="","",SUMIFS(Datos!$G$2:$G$8833,Datos!$A$2:$A$8833,$B$3,Datos!$B$2:$B$8833,$B$13,Datos!$C$2:$C$8833,$B$5,Datos!$D$2:$D$8833,$B$6,Datos!$E$2:$E$8833,$D35,Datos!$F$2:$F$8833,"Cartera"))</f>
        <v/>
      </c>
      <c r="F35">
        <f>IF(OR($B$9="Sin benchmark",$D35=""),"",SUMIFS(Datos!$G$2:$G$8833,Datos!$A$2:$A$8833,$B$3,Datos!$B$2:$B$8833,$B$13,Datos!$C$2:$C$8833,$B$5,Datos!$D$2:$D$8833,$B$6,Datos!$E$2:$E$8833,$D35,Datos!$F$2:$F$8833,"Benchmark"))</f>
        <v/>
      </c>
    </row>
    <row r="36">
      <c r="D36">
        <f>IF((ROW()-2)&gt;$B$12,"",INDEX(INDIRECT("Cat_"&amp;$B$6),COUNTA(INDIRECT("Cat_"&amp;$B$6))-$B$12+(ROW()-2)))</f>
        <v/>
      </c>
      <c r="E36">
        <f>IF($D36="","",SUMIFS(Datos!$G$2:$G$8833,Datos!$A$2:$A$8833,$B$3,Datos!$B$2:$B$8833,$B$13,Datos!$C$2:$C$8833,$B$5,Datos!$D$2:$D$8833,$B$6,Datos!$E$2:$E$8833,$D36,Datos!$F$2:$F$8833,"Cartera"))</f>
        <v/>
      </c>
      <c r="F36">
        <f>IF(OR($B$9="Sin benchmark",$D36=""),"",SUMIFS(Datos!$G$2:$G$8833,Datos!$A$2:$A$8833,$B$3,Datos!$B$2:$B$8833,$B$13,Datos!$C$2:$C$8833,$B$5,Datos!$D$2:$D$8833,$B$6,Datos!$E$2:$E$8833,$D36,Datos!$F$2:$F$8833,"Benchmark"))</f>
        <v/>
      </c>
    </row>
    <row r="37">
      <c r="D37">
        <f>IF((ROW()-2)&gt;$B$12,"",INDEX(INDIRECT("Cat_"&amp;$B$6),COUNTA(INDIRECT("Cat_"&amp;$B$6))-$B$12+(ROW()-2)))</f>
        <v/>
      </c>
      <c r="E37">
        <f>IF($D37="","",SUMIFS(Datos!$G$2:$G$8833,Datos!$A$2:$A$8833,$B$3,Datos!$B$2:$B$8833,$B$13,Datos!$C$2:$C$8833,$B$5,Datos!$D$2:$D$8833,$B$6,Datos!$E$2:$E$8833,$D37,Datos!$F$2:$F$8833,"Cartera"))</f>
        <v/>
      </c>
      <c r="F37">
        <f>IF(OR($B$9="Sin benchmark",$D37=""),"",SUMIFS(Datos!$G$2:$G$8833,Datos!$A$2:$A$8833,$B$3,Datos!$B$2:$B$8833,$B$13,Datos!$C$2:$C$8833,$B$5,Datos!$D$2:$D$8833,$B$6,Datos!$E$2:$E$8833,$D37,Datos!$F$2:$F$8833,"Benchmark"))</f>
        <v/>
      </c>
    </row>
    <row r="38">
      <c r="D38">
        <f>IF((ROW()-2)&gt;$B$12,"",INDEX(INDIRECT("Cat_"&amp;$B$6),COUNTA(INDIRECT("Cat_"&amp;$B$6))-$B$12+(ROW()-2)))</f>
        <v/>
      </c>
      <c r="E38">
        <f>IF($D38="","",SUMIFS(Datos!$G$2:$G$8833,Datos!$A$2:$A$8833,$B$3,Datos!$B$2:$B$8833,$B$13,Datos!$C$2:$C$8833,$B$5,Datos!$D$2:$D$8833,$B$6,Datos!$E$2:$E$8833,$D38,Datos!$F$2:$F$8833,"Cartera"))</f>
        <v/>
      </c>
      <c r="F38">
        <f>IF(OR($B$9="Sin benchmark",$D38=""),"",SUMIFS(Datos!$G$2:$G$8833,Datos!$A$2:$A$8833,$B$3,Datos!$B$2:$B$8833,$B$13,Datos!$C$2:$C$8833,$B$5,Datos!$D$2:$D$8833,$B$6,Datos!$E$2:$E$8833,$D38,Datos!$F$2:$F$8833,"Benchmark"))</f>
        <v/>
      </c>
    </row>
  </sheetData>
  <mergeCells count="1">
    <mergeCell ref="A15:C15"/>
  </mergeCells>
  <dataValidations count="8">
    <dataValidation sqref="B3" showDropDown="0" showInputMessage="0" showErrorMessage="0" allowBlank="0" type="list">
      <formula1>"RF Privada A,Bolsa Europa,Mixto Moderado"</formula1>
    </dataValidation>
    <dataValidation sqref="B4" showDropDown="0" showInputMessage="0" showErrorMessage="0" allowBlank="0" type="list">
      <formula1>"Rendimiento,Riesgo,Composicion,Costes,Liquidez,Valoracion"</formula1>
    </dataValidation>
    <dataValidation sqref="B5" showDropDown="0" showInputMessage="0" showErrorMessage="0" allowBlank="0" type="list">
      <formula1>=INDIRECT("Grupo_"&amp;$B$4)</formula1>
    </dataValidation>
    <dataValidation sqref="B6" showDropDown="0" showInputMessage="0" showErrorMessage="0" allowBlank="0" type="list">
      <formula1>"Mensual,Trimestral,Semestral,Anual,Activo,Geografia,Industria,Sector,Divisa,Rating"</formula1>
    </dataValidation>
    <dataValidation sqref="B7" showDropDown="0" showInputMessage="0" showErrorMessage="0" allowBlank="0" type="list">
      <formula1>"Todos,RF,RV"</formula1>
    </dataValidation>
    <dataValidation sqref="B8" showDropDown="0" showInputMessage="0" showErrorMessage="0" allowBlank="0" type="list">
      <formula1>"MTD,YTD,3M,6M,1A,3A"</formula1>
    </dataValidation>
    <dataValidation sqref="B9" showDropDown="0" showInputMessage="0" showErrorMessage="0" allowBlank="0" type="list">
      <formula1>"Con benchmark,Sin benchmark"</formula1>
    </dataValidation>
    <dataValidation sqref="B10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Fondo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8.1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7.29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9.380000000000001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8.44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10.42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9.380000000000001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11.07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9.960000000000001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8.91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8.02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8.869999999999999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7.98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8.77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7.89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8.85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7.96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6.9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6.21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7.77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6.99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8.960000000000001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8.06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10.27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9.24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9.050000000000001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8.15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10.33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9.300000000000001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10.39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9.35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7.89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7.1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7.86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7.07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8.119999999999999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7.31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8.800000000000001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7.92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7.46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6.71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8.74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7.87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10.01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9.01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11.03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9.93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9.26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8.33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9.48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8.529999999999999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9.43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8.49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9.33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8.4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7.03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6.33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7.51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6.76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8.4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7.56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9.6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8.640000000000001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8.51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7.66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9.68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8.710000000000001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9.449999999999999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10.9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9.81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8.1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7.29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9.380000000000001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8.44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10.42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9.380000000000001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11.07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9.960000000000001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8.91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8.02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8.869999999999999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7.98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8.77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7.89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8.85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7.96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6.9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6.21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7.77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6.99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8.960000000000001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8.06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10.27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9.24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8.1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7.29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9.380000000000001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8.44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10.42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9.380000000000001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11.07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9.960000000000001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8.91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8.02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8.869999999999999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7.98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8.1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7.29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9.380000000000001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8.44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10.42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9.380000000000001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8.1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7.29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9.380000000000001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8.44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10.42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9.380000000000001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11.07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9.960000000000001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8.91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8.02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8.1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7.29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9.380000000000001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8.44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10.42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9.380000000000001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11.07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9.960000000000001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8.91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8.02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8.1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7.29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9.380000000000001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8.44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10.42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9.380000000000001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11.07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9.960000000000001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8.91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8.02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8.869999999999999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7.98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8.77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7.89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8.1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7.29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9.380000000000001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8.44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10.42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9.380000000000001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11.07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9.960000000000001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8.91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8.02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8.869999999999999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7.98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8.1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7.29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9.380000000000001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8.44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10.42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9.380000000000001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11.07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9.960000000000001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8.91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8.02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8.869999999999999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7.98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8.1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7.29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9.380000000000001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8.44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10.42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9.380000000000001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11.07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9.960000000000001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8.91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8.02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8.869999999999999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7.98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10.2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9.18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12.76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11.48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14.84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13.36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16.14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14.53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11.82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10.64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11.74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10.57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11.54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10.39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11.71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10.54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7.81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7.03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9.550000000000001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8.6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11.93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10.74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14.55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13.1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12.1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10.89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13.8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12.42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14.65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13.19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14.79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13.31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9.779999999999999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8.800000000000001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9.720000000000001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8.75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10.25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9.220000000000001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11.59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10.43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8.91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8.02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11.48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10.33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14.02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12.62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16.06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14.45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12.52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11.27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12.96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11.66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12.86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11.57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12.67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11.4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8.07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7.26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9.02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8.119999999999999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10.8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9.720000000000001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13.21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11.89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11.02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9.92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13.35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12.02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15.81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14.23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10.2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9.18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12.76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11.48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14.84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13.36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16.14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14.53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11.82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10.64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11.74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10.57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11.54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10.39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11.71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10.54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7.81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7.03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9.550000000000001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8.6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11.93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10.74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14.55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13.1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10.2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9.18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12.76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11.48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14.84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13.36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16.14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14.53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11.82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10.64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11.74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10.57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10.2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9.18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12.76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11.48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14.84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13.36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10.2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9.18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12.76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11.48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14.84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13.36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16.14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14.53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11.82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10.64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10.2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9.18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12.76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11.48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14.84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13.36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16.14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14.53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11.82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10.64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10.2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9.18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12.76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11.48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14.84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13.36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16.14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14.53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11.82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10.64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11.74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10.57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11.54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10.39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10.2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9.18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12.76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11.48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14.84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13.36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16.14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14.53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11.82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10.64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11.74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10.57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10.2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9.18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12.76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11.48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14.84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13.36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16.14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14.53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11.82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10.64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11.74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10.57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10.2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9.18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12.76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11.48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14.84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13.36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16.14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14.53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11.82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10.64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11.74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10.57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4.55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4.19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5.19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4.77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5.71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5.25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6.03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4.96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4.56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4.93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4.54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4.88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4.49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4.93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4.54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3.95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3.63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4.39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4.04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4.98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4.58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5.64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5.19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5.03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4.63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5.45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5.01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5.66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5.21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5.24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4.45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4.09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4.43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4.08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4.56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4.2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4.9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4.51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4.23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3.89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4.87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4.48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5.51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5.07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6.02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5.54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5.13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4.72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5.24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4.82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5.21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4.79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5.17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4.76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4.02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4.25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3.91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4.7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4.32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5.3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4.88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4.76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4.38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5.34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4.91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5.75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5.29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5.95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5.47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4.55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4.19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5.19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4.77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5.71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5.25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6.03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4.96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4.56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4.93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4.54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4.88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4.49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4.93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4.54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3.95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3.63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4.39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4.04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4.98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4.58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5.64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5.19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4.55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4.19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5.19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4.77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5.71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5.25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6.03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4.96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4.56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4.93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4.54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4.55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4.19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5.19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4.77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5.71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5.25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4.55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4.19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5.19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4.77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5.71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5.25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6.03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4.96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4.56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4.55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4.19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5.19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4.77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5.71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5.25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6.03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4.96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4.56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4.55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4.19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5.19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4.77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5.71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5.25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6.03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4.96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4.56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4.93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4.54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4.88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4.49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4.55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4.19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5.19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4.77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5.71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5.25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6.03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4.96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4.56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4.93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4.54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4.55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4.19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5.19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4.77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5.71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5.25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6.03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4.96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4.56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4.93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4.54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4.55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4.19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5.19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4.77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5.71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5.25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6.03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4.96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4.56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4.93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4.54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3.2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3.36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3.63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3.81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3.97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4.17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4.19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4.4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3.47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3.64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3.46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3.63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3.42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3.59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3.45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3.62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2.8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2.94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3.09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3.24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3.49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3.66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3.92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4.12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3.52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3.7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3.99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3.94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4.14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3.96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4.16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3.13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3.29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3.12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3.28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3.21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3.37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3.43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3.6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2.99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3.14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3.41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3.58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3.84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4.03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4.18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4.39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3.59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3.77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3.66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3.84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3.64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3.82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3.61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3.79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2.84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2.98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3.15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3.3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3.46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3.7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3.89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3.34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3.51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3.73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3.92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4.13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4.34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3.2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3.36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3.63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3.81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3.97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4.17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4.19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4.4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3.47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3.64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3.46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3.63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3.42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3.59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3.45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3.62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2.8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2.94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3.09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3.24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3.49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3.66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3.92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4.12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3.2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3.36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3.63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3.81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3.97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4.17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4.19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4.4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3.47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3.64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3.46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3.63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3.2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3.36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3.63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3.81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3.97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4.17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3.2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3.36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3.63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3.81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3.97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4.17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4.19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4.4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3.47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3.64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3.2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3.36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3.63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3.81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3.97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4.17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4.19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4.4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3.47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3.64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3.2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3.36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3.63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3.81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3.97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4.17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4.19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4.4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3.47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3.64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3.46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3.63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3.42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3.59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3.2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3.36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3.63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3.81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3.97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4.17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4.19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4.4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3.47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3.64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3.46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3.63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3.2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3.36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3.63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3.81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3.97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4.17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4.19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4.4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3.47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3.64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3.46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3.63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3.2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3.36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3.63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3.81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3.97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4.17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4.19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4.4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3.47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3.64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3.46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3.63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97.5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82.88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129.44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110.02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155.46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132.14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171.72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145.96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117.76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100.1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116.73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99.22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114.22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97.09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116.35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98.90000000000001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67.62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57.48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89.31999999999999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75.92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119.12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101.25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151.85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129.07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121.31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103.11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142.46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121.09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153.14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130.17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154.86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131.63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92.27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78.43000000000001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91.5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77.77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98.06999999999999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83.36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114.92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97.68000000000001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81.40000000000001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69.19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113.51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96.48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145.26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123.47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170.81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145.19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126.47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107.5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132.01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112.21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130.73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111.12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128.33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109.08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70.87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60.24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82.72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70.31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104.97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89.22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135.09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114.83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107.8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91.63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136.91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116.37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157.49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133.87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167.6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142.46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97.5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82.88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129.44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110.02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155.46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132.14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171.72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145.96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117.76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100.1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116.73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99.22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114.22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97.09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116.35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98.90000000000001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67.62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57.48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89.31999999999999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75.92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119.12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101.25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151.85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129.07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97.5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82.88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129.44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110.02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155.46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132.14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171.72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145.96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117.76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100.1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116.73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99.22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97.5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82.88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129.44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110.02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155.46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132.14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97.5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82.88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129.44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110.02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155.46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132.14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171.72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145.96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117.76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100.1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97.5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82.88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129.44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110.02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155.46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132.14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171.72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145.96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117.76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100.1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97.5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82.88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129.44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110.02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155.46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132.14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171.72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145.96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117.76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100.1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116.73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99.22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114.22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97.09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97.5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82.88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129.44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110.02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155.46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132.14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171.72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145.96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117.76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100.1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116.73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99.22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97.5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82.88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129.44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110.02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155.46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132.14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171.72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145.96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117.76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100.1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116.73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99.22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97.5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82.88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129.44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110.02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155.46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132.14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171.72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145.96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117.76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100.1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116.73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99.22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10.8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11.88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12.5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13.75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13.89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15.28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14.76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16.24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11.88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13.07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11.83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13.01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11.69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12.86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11.81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12.99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9.210000000000001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10.13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10.36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11.4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11.95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13.14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13.7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15.07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12.07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13.28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14.52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13.77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15.15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13.86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15.25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10.52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11.57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10.48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11.53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10.83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11.91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11.73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12.9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9.94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10.93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11.65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12.82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13.35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14.69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14.71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16.18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12.35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13.59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12.64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13.9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12.57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13.83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12.44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13.68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9.380000000000001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10.32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10.01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11.01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11.2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12.32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12.8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14.08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11.35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12.49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12.9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14.19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14.54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15.99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10.8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11.88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12.5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13.75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13.89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15.28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14.76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16.24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11.88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13.07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11.83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13.01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11.69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12.86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11.81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12.99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9.210000000000001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10.13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10.36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11.4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11.95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13.14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13.7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15.07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10.8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11.88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12.5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13.75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13.89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15.28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14.76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16.24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11.88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13.07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11.83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13.01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10.8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11.88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12.5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13.75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13.89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15.28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10.8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11.88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12.5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13.75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13.89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15.28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14.76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16.24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11.88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13.07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10.8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11.88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12.5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13.75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13.89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15.28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14.76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16.24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11.88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13.07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10.8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11.88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12.5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13.75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13.89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15.28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14.76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16.24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11.88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13.07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11.83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13.01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11.69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12.86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10.8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11.88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12.5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13.75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13.89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15.28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14.76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16.24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11.88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13.07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11.83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13.01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10.8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11.88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12.5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13.75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13.89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15.28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14.76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16.24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11.88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13.07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11.83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13.01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10.8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11.88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12.5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13.75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13.89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15.28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14.76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16.24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11.88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13.07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11.83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13.01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0.93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0.93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1.03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1.03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1.12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1.12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1.17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1.17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0.99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0.99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0.99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0.99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0.98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0.98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0.99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0.99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0.83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0.83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1.11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1.11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1.07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1.07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1.11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1.11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1.12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1.12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0.91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0.91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0.91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0.91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0.93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0.93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0.98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0.98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0.87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0.87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0.98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0.98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1.08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1.08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1.17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1.17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1.02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1.02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1.04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1.04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1.04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1.04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1.03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1.03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0.84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0.84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0.88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0.88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0.95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0.95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1.05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1.05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0.96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0.96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1.06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1.06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1.12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1.12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1.16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1.16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0.93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0.93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1.03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1.03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1.12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1.12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1.17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1.17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0.99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0.99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0.99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0.99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0.98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0.98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0.99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0.99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0.83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0.83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1.11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1.11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0.93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0.93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1.03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1.03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1.12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1.12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1.17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1.17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0.99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0.99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0.99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0.99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0.93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0.93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1.03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1.03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1.12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1.12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0.93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0.93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1.03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1.03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1.12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1.12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1.17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1.17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0.99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0.99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0.93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0.93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1.03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1.03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1.12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1.12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1.17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1.17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0.99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0.99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0.93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0.93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1.03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1.03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1.12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1.12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1.17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1.17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0.99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0.99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0.99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0.99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0.98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0.98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0.93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0.93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1.03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1.03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1.12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1.12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1.17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1.17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0.99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0.99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0.99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0.99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0.93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0.93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1.03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1.03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1.12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1.12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1.17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1.17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0.99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0.99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0.99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0.99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0.93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0.93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1.03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1.03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1.12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1.12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1.17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1.17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0.99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0.99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0.99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0.99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13.5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13.5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19.89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19.89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25.09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25.09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28.34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28.34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17.55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17.55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17.35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17.35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16.84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16.84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17.27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17.27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7.52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7.52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11.86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11.86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17.82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17.82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24.37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24.37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18.26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18.26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22.49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22.49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24.63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24.63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24.97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24.97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12.45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12.45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12.3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12.3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13.61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13.61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16.98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16.98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10.28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10.28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16.7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16.7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23.05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23.05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28.16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28.16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19.29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19.29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20.4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20.4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20.15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20.15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19.67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19.67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8.17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8.17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10.54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10.54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14.99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14.99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21.02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21.02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15.56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15.56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21.38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21.38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25.5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25.5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27.52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27.52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13.5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13.5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19.89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19.89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25.09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25.09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28.34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28.34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17.55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17.55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17.35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17.35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16.84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16.84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17.27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17.27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7.52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7.52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11.86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11.86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17.82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17.82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24.37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24.37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13.5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13.5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19.89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19.89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25.09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25.09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28.34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28.34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17.55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17.55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17.35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17.35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13.5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13.5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19.89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19.89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25.09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25.09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13.5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13.5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19.89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19.89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25.09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25.09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28.34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28.34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17.55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17.55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13.5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13.5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19.89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19.89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25.09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25.09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28.34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28.34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17.55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17.55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13.5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13.5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19.89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19.89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25.09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25.09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28.34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28.34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17.55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17.55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17.35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17.35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16.84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16.84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13.5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13.5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19.89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19.89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25.09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25.09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28.34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28.34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17.55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17.55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17.35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17.35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13.5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13.5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19.89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19.89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25.09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25.09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28.34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28.34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17.55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17.55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17.35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17.35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13.5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13.5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19.89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19.89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25.09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25.09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28.34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28.34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17.55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17.55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17.35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17.35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0.87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0.87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0.92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0.92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0.85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0.85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0.84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0.84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0.84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0.84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0.84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0.84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0.75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0.75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0.79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0.79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0.85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0.85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0.91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0.91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0.85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0.85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0.89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0.89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0.92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0.92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0.92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0.92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0.79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0.79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0.8100000000000001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0.8100000000000001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0.84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0.84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0.77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0.77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0.84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0.84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0.95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0.95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0.87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0.87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0.87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0.87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0.87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0.87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0.75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0.75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0.78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0.78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0.82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0.82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0.88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0.88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0.83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0.83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0.88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0.88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0.92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0.92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0.95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0.95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0.87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0.87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0.92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0.92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0.85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0.85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0.84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0.84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0.84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0.84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0.84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0.84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0.75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0.75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0.79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0.79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0.85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0.85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0.91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0.91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0.87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0.87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0.92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0.92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0.85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0.85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0.84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0.84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0.87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0.87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0.92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0.92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0.87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0.87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0.92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0.92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0.85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0.85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0.87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0.87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0.92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0.92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0.85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0.85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0.87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0.87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0.92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0.92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0.85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0.85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0.84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0.84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0.84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0.84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0.87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0.87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0.92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0.92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0.85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0.85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0.84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0.84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0.87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0.87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0.92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0.92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0.85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0.85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0.84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0.84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0.87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0.87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0.92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0.92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0.85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0.85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0.84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0.84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4.85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4.95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5.06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5.16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5.24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5.34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5.34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5.45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4.99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5.09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4.98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5.08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4.96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5.06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4.98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5.08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4.65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4.74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4.8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4.9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4.99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5.09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5.21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5.31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5.01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5.11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5.15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5.25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5.22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5.32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5.23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5.33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4.82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4.92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4.81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4.91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4.85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4.95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4.97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5.07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4.74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4.83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4.96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5.06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5.17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5.27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5.34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5.45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5.04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5.14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5.08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5.18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5.07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5.17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5.06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5.16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4.67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4.76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4.75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4.84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4.9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5.1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5.2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4.92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5.02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5.11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5.21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5.25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5.36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5.32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5.43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4.85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4.95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5.06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5.16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5.24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5.34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5.34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5.45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4.99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5.09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4.98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5.08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4.96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5.06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4.98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5.08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4.65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4.74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4.8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4.9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4.99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5.09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5.21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5.31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4.85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4.95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5.06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5.16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5.24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5.34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5.34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5.45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4.99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5.09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4.98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5.08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4.85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4.95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5.06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5.16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5.24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5.34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4.85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4.95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5.06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5.16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5.24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5.34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5.34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5.45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4.99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5.09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4.85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4.95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5.06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5.16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5.24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5.34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5.34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5.45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4.99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5.09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4.85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4.95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5.06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5.16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5.24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5.34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5.34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5.45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4.99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5.09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4.98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5.08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4.96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5.06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4.85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4.95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5.06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5.16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5.24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5.34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5.34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5.45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4.99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5.09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4.98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5.08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4.85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4.95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5.06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5.16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5.24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5.34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5.34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5.45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4.99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5.09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4.98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5.08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4.85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4.95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5.06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5.16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5.24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5.34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5.34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5.45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4.99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5.09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4.98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5.08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13.8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14.35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15.5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16.12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16.89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17.57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17.76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18.47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14.88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15.48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14.83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15.42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14.69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15.28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14.81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15.4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12.21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12.7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13.36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13.89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14.95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15.55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16.7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17.37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15.07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15.67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16.85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16.77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17.44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16.86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17.53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13.52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14.06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13.48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14.02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13.83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14.38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14.73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15.32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12.94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13.46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14.65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15.24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16.35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17.71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18.42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15.35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15.96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15.64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16.27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15.57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16.19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15.44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16.06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12.38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12.88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13.01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13.53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14.2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14.77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15.8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16.43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14.35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14.92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15.9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16.54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17.68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17.54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18.24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13.8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14.35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15.5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16.12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16.89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17.57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17.76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18.47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14.88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15.48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14.83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15.42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14.69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15.28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14.81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15.4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12.21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12.7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13.36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13.89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14.95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15.55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16.7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17.37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13.8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14.35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15.5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16.12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16.89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17.57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17.76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18.47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14.88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15.48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14.83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15.42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13.8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14.35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15.5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16.12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16.89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17.57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13.8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14.35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15.5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16.12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16.89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17.57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17.76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18.47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14.88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15.48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13.8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14.35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15.5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16.12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16.89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17.57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17.76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18.47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14.88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15.48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13.8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14.35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15.5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16.12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16.89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17.57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17.76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18.47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14.88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15.48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14.83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15.42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14.69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15.28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13.8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14.35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15.5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16.12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16.89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17.57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17.76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18.47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14.88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15.48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14.83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15.42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13.8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14.35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15.5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16.12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16.89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17.57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17.76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18.47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14.88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15.48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14.83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15.42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13.8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14.35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15.5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16.12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16.89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17.57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17.76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18.47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14.88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15.48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14.83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15.42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2.5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2.38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2.93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2.78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3.27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3.11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3.49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3.32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2.77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2.63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2.76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2.62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2.72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2.58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2.75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2.61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2.1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1.99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2.39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2.27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2.79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2.65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3.22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3.06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2.82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2.68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2.94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3.24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3.08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3.26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3.1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2.43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2.31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2.42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2.3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2.51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2.38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2.73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2.59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2.29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2.18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2.71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2.57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3.14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2.98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3.48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3.31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2.89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2.75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2.96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2.81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2.94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2.79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2.91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2.76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2.14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2.03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2.3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2.18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2.6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2.47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2.85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2.64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2.51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3.03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2.88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3.13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3.43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3.26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2.5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2.38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2.93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2.78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3.27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3.11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3.49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3.32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2.77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2.63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2.76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2.62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2.72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2.58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2.75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2.61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2.1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1.99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2.39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2.27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2.79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2.65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3.22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3.06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2.5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2.38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2.93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2.78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3.27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3.11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3.49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3.32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2.77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2.63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2.76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2.62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2.5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2.38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2.93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2.78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3.27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3.11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2.5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2.38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2.93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2.78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3.27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3.11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3.49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3.32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2.77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2.63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2.5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2.38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2.93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2.78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3.27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3.11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3.49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3.32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2.77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2.63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2.5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2.38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2.93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2.78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3.27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3.11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3.49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3.32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2.77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2.63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2.76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2.62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2.72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2.58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2.5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2.38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2.93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2.78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3.27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3.11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3.49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3.32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2.77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2.63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2.76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2.62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2.5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2.38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2.93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2.78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3.27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3.11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3.49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3.32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2.77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2.63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2.76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2.62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2.5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2.38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2.93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2.78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3.27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3.11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3.49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3.32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2.77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2.63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2.76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2.62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8.1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7.29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9.380000000000001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8.44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10.42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9.380000000000001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11.07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9.960000000000001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8.91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8.02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8.869999999999999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7.98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8.77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7.89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8.85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7.96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6.9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6.21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7.77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6.99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8.960000000000001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8.06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10.27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9.24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9.050000000000001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8.15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9.9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8.91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10.33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9.300000000000001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10.39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9.35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7.89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7.1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7.86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7.07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8.119999999999999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7.31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8.800000000000001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7.92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7.46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6.71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8.74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7.87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10.01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9.01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11.03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9.93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9.26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8.33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9.48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8.529999999999999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9.43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8.49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9.33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8.4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7.03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6.33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7.51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6.76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8.4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7.56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9.6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8.640000000000001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8.51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7.66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9.68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8.710000000000001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10.5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9.449999999999999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10.9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9.81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8.1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7.29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9.380000000000001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8.44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10.42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9.380000000000001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11.07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9.960000000000001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8.91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8.02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8.869999999999999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7.98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8.77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7.89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8.85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7.96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6.9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6.21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7.77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6.99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8.960000000000001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8.06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10.27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9.24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8.1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7.29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9.380000000000001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8.44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10.42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9.380000000000001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11.07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9.960000000000001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8.91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8.02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8.869999999999999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7.98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8.1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7.29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9.380000000000001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8.44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10.42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9.380000000000001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8.1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7.29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9.380000000000001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8.44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10.42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9.380000000000001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11.07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9.960000000000001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8.91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8.02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8.1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7.29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9.380000000000001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8.44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10.42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9.380000000000001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11.07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9.960000000000001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8.91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8.02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8.1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7.29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9.380000000000001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8.44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10.42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9.380000000000001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11.07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9.960000000000001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8.91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8.02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8.869999999999999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7.98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8.77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7.89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8.1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7.29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9.380000000000001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8.44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10.42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9.380000000000001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11.07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9.960000000000001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8.91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8.02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8.869999999999999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7.98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8.1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7.29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9.380000000000001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8.44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10.42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9.380000000000001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11.07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9.960000000000001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8.91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8.02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8.869999999999999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7.98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8.1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7.29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9.380000000000001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8.44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10.42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9.380000000000001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11.07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9.960000000000001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8.91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8.02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8.869999999999999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7.98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10.2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9.18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12.76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11.48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14.84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13.36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16.14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14.53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11.82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10.64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11.74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10.57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11.54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10.39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11.71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10.54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7.81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7.03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9.550000000000001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8.6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11.93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10.74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14.55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13.1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12.1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10.89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13.8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12.42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14.65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13.19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14.79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13.31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9.779999999999999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8.800000000000001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9.720000000000001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8.75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10.25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9.220000000000001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11.59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10.43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8.91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8.02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11.48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10.33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14.02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12.62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16.06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14.45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12.52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11.27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12.96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11.66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12.86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11.57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12.67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8.07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7.26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9.02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8.119999999999999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10.8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9.720000000000001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13.21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11.89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11.02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9.92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13.35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12.02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15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13.5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15.81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14.23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10.2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9.18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12.76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11.48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14.84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13.36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16.14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14.53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11.82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10.64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11.74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10.57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11.54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10.39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11.71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10.54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7.81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7.03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9.550000000000001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8.6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11.93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10.74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14.55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13.1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10.2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9.18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12.76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11.48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14.84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13.36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16.14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14.53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11.82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10.64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11.74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10.57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10.2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9.18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12.76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11.48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14.84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13.36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10.2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9.18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12.76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11.48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14.84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13.36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16.14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14.53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11.82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10.64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10.2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9.18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12.76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11.48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14.84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13.36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16.14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14.53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11.82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10.64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10.2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9.18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12.76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11.48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14.84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13.36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16.14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14.53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11.82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10.64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11.74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10.57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11.54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10.39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10.2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9.18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12.76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11.48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14.84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13.36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16.14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14.53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11.82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10.64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11.74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10.57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10.2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9.18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12.76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11.48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14.84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13.36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16.14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14.53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11.82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10.64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11.74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10.57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10.2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9.18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12.76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11.48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14.84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13.36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16.14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14.53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11.82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10.64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11.74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10.57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4.55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4.19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5.19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4.77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5.71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5.25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6.03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5.55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4.96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4.56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4.93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4.54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4.88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4.49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4.93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4.54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3.95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3.63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4.39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4.04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4.98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4.58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5.64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5.19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5.03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4.63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5.45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5.01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5.66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5.21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5.24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4.45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4.09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4.43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4.08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4.56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4.2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4.9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4.51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4.23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3.89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4.87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4.48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5.51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5.07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6.02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5.54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5.13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4.72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5.24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4.82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5.21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4.79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5.17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4.76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4.02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3.7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4.25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3.91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4.7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4.32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5.3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4.88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4.76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4.38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5.34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4.91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5.75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5.29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5.95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5.47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4.55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4.19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5.19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4.77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5.71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5.25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6.03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5.55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4.96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4.56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4.93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4.54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4.88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4.49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4.93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4.54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3.95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3.63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4.39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4.04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4.98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4.58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5.64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5.19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4.55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4.19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5.19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4.77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5.71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5.25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6.03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5.55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4.96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4.56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4.93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4.54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4.55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4.19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5.19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4.77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5.71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5.25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4.55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4.19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5.19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4.77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5.71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5.25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6.03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5.55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4.96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4.56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4.55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4.19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5.19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4.77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5.71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5.25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6.03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5.55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4.96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4.56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4.55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4.19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5.19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4.77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5.71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5.25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6.03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5.55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4.96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4.56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4.93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4.54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4.88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4.49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4.55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4.19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5.19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4.77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5.71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5.25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6.03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5.55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4.96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4.56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4.93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4.54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4.55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4.19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5.19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4.77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5.71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5.25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6.03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5.55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4.96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4.56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4.93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4.54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4.55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4.19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5.19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4.77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5.71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5.25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6.03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5.55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4.96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4.56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4.93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4.54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3.2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3.36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3.63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3.81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3.97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4.17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4.19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4.4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3.47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3.64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3.46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3.63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3.42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3.59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3.45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3.62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2.8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2.94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3.09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3.24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3.49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3.66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3.92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4.12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3.52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3.7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3.8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3.99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3.94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4.14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3.96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4.16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3.13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3.29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3.12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3.28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3.21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3.37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3.43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3.6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2.99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3.14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3.41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3.58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3.84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4.03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4.18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4.39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3.59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3.77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3.66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3.84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3.64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3.82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3.61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3.79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2.84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2.98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3.15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3.3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3.46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3.7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3.89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3.34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3.51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3.73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3.92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4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4.2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4.13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4.34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3.2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3.36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3.63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3.81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3.97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4.17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4.19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4.4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3.47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3.64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3.46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3.63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3.42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3.59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3.45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3.62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2.8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2.94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3.09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3.24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3.49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3.66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3.92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4.12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3.2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3.36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3.63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3.81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3.97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4.17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4.19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4.4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3.47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3.64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3.46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3.63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3.2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3.36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3.63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3.81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3.97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4.17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3.2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3.36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3.63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3.81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3.97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4.17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4.19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4.4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3.47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3.64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3.2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3.36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3.63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3.81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3.97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4.17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4.19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4.4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3.47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3.64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3.2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3.36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3.63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3.81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3.97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4.17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4.19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4.4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3.47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3.64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3.46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3.63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3.42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3.59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3.2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3.36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3.63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3.81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3.97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4.17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4.19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4.4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3.47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3.64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3.46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3.63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3.2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3.36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3.63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3.81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3.97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4.17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4.19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4.4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3.47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3.64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3.46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3.63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3.2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3.36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3.63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3.81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3.97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4.17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4.19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4.4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3.47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3.64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3.46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3.63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97.5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82.88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129.44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110.02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155.46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132.14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171.72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145.96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117.76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100.1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116.73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99.22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114.22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97.09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116.35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98.90000000000001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67.62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57.48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89.31999999999999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75.92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119.12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101.25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151.85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129.07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121.31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103.11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142.46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121.09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153.14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130.17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154.86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131.63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92.27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78.43000000000001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91.5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77.77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98.06999999999999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83.36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114.92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97.68000000000001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81.40000000000001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69.19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113.51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96.48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145.26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123.47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170.81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145.19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126.47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107.5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132.01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112.21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130.73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111.12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128.33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109.08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70.87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60.24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82.72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70.31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104.97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89.22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135.09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114.83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107.8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91.63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136.91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116.37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157.49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133.87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167.6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142.46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97.5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82.88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129.44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110.02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155.46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132.14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171.72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145.96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117.76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100.1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116.73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99.22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114.22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97.09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116.35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98.90000000000001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67.62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57.48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89.31999999999999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75.92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119.12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101.25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151.85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129.07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97.5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82.88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129.44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110.02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155.46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132.14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171.72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145.96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117.76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100.1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116.73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99.22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97.5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82.88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129.44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110.02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155.46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132.14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97.5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82.88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129.44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110.02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155.46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132.14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171.72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145.96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117.76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100.1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97.5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82.88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129.44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110.02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155.46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132.14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171.72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145.96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117.76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100.1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97.5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82.88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129.44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110.02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155.46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132.14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171.72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145.96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117.76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100.1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116.73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99.22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114.22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97.09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97.5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82.88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129.44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110.02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155.46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132.14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171.72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145.96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117.76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100.1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116.73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99.22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97.5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82.88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129.44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110.02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155.46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132.14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171.72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145.96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117.76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100.1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116.73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99.22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97.5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82.88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129.44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110.02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155.46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132.14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171.72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145.96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117.76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100.1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116.73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99.22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10.8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11.88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12.5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13.75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13.89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15.28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14.76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16.24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11.88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13.07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11.83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13.01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11.69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12.86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11.81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12.99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9.210000000000001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10.13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10.36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11.4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11.95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13.14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13.7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15.07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12.07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13.28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13.2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14.52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13.77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15.15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13.86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15.25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10.52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11.57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10.48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11.53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10.83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11.91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11.73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12.9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9.94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10.93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11.65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12.82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13.35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14.69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14.71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16.18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12.35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13.59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12.64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13.9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12.57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13.83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12.44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13.68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9.380000000000001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10.32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10.01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11.01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11.2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12.32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12.8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14.08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11.35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12.49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12.9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14.19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14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15.4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14.54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15.99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10.8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11.88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12.5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13.75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13.89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15.28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14.76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16.24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11.88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13.07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11.83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13.01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11.69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12.86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11.81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12.99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9.210000000000001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10.13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10.36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11.4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11.95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13.14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13.7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15.07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10.8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11.88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12.5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13.75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13.89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15.28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14.76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16.24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11.88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13.07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11.83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13.01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10.8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11.88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12.5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13.75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13.89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15.28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10.8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11.88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12.5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13.75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13.89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15.28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14.76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16.24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11.88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13.07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10.8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11.88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12.5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13.75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13.89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15.28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14.76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16.24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11.88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13.07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10.8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11.88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12.5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13.75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13.89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15.28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14.76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16.24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11.88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13.07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11.83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13.01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11.69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12.86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10.8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11.88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12.5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13.75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13.89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15.28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14.76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16.24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11.88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13.07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11.83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13.01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10.8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11.88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12.5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13.75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13.89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15.28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14.76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16.24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11.88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13.07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11.83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13.01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10.8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11.88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12.5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13.75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13.89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15.28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14.76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16.24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11.88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13.07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11.83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13.01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0.93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0.93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1.03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1.03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1.12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1.12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1.17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1.17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0.99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0.99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0.99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0.99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0.98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0.98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0.99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0.99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0.83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0.83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0.9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0.9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1.11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1.11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1.07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1.07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1.11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1.11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1.12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1.12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0.91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0.91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0.91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0.91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0.93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0.93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0.98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0.98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0.87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0.87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0.98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0.98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1.08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1.08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1.17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1.17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1.02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1.02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1.04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1.04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1.04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1.04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1.03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1.03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0.84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0.84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0.88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0.88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0.95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0.95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1.05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1.05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0.96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0.96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1.06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1.06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1.12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1.12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1.16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1.16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0.93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0.93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1.03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1.03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1.12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1.12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1.17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1.17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0.99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0.99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0.99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0.99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0.98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0.98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0.99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0.99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0.83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0.83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0.9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0.9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1.11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1.11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0.93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0.93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1.03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1.03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1.12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1.12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1.17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1.17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0.99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0.99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0.99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0.99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0.93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0.93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1.03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1.03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1.12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1.12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0.93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0.93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1.03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1.03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1.12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1.12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1.17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1.17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0.99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0.99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0.93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0.93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1.03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1.03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1.12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1.12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1.17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1.17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0.99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0.99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0.93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0.93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1.03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1.03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1.12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1.12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1.17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1.17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0.99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0.99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0.99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0.99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0.98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0.98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0.93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0.93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1.03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1.03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1.12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1.12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1.17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1.17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0.99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0.99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0.99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0.99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0.93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0.93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1.03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1.03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1.12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1.12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1.17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1.17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0.99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0.99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0.99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0.99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0.93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0.93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1.03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1.03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1.12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1.12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1.17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1.17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0.99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0.99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0.99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0.99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13.5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13.5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19.89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19.89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25.09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25.09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28.34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28.34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17.55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17.55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17.35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17.35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16.84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16.84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17.27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17.27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7.52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7.52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11.86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11.86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17.82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17.82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24.37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24.37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18.26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18.26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22.49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22.49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24.63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24.63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24.97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24.97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12.45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12.45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12.3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12.3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13.61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13.61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16.98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16.98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10.28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10.28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16.7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16.7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23.05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23.05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28.16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28.16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19.29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19.29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20.4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20.4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20.15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20.15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19.67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19.67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8.17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8.17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10.54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10.54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14.99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14.99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21.02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21.02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15.56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15.56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21.38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21.38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25.5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25.5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27.52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27.52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13.5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13.5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19.89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19.89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25.09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25.09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28.34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28.34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17.55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17.55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17.35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17.35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16.84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16.84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17.27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17.27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7.52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7.52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11.86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11.86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17.82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17.82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24.37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24.37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13.5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13.5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19.89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19.89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25.09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25.09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28.34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28.34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17.55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17.55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17.35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17.35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13.5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13.5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19.89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19.89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25.09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25.09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13.5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13.5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19.89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19.89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25.09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25.09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28.34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28.34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17.55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17.55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13.5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13.5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19.89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19.89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25.09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25.09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28.34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28.34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17.55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17.55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13.5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13.5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19.89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19.89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25.09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25.09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28.34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28.34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17.55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17.55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17.35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17.35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16.84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16.84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13.5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13.5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19.89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19.89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25.09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25.09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28.34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28.34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17.55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17.55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17.35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17.35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13.5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13.5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19.89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19.89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25.09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25.09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28.34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28.34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17.55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17.55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17.35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17.35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13.5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13.5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19.89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19.89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25.09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25.09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28.34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28.34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17.55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17.55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17.35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17.35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0.87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0.87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0.92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0.92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0.95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0.95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0.85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0.85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0.84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0.84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0.84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0.84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0.84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0.84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0.75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0.75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0.79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0.79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0.85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0.85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0.91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0.91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0.85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0.85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0.89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0.89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0.92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0.92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0.92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0.92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0.79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0.79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0.79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0.79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0.8100000000000001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0.8100000000000001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0.84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0.84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0.77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0.77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0.84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0.84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0.95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0.95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0.86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0.86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0.87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0.87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0.87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0.87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0.87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0.87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0.75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0.75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0.78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0.78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0.82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0.82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0.88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0.88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0.83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0.83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0.88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0.88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0.92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0.92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0.95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0.95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0.87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0.87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0.92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0.92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0.95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0.95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0.85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0.85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0.84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0.84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0.84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0.84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0.84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0.84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0.75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0.75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0.79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0.79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0.85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0.85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0.91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0.91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0.87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0.87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0.92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0.92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0.95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0.95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0.85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0.85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0.84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0.84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0.87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0.87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0.92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0.92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0.87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0.87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0.92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0.92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0.95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0.95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0.85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0.85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0.87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0.87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0.92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0.92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0.95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0.95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0.85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0.85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0.87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0.87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0.92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0.92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0.95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0.95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0.85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0.85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0.84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0.84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0.84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0.84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0.87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0.87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0.92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0.92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0.95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0.95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0.85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0.85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0.84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0.84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0.87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0.87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0.92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0.92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0.95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0.95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0.85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0.85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0.84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0.84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0.87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0.87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0.92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0.92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0.95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0.95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0.85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0.85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0.84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0.84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4.85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4.95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5.06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5.16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5.24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5.34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5.34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5.45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4.99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5.09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4.98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5.08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4.96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5.06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4.98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5.08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4.65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4.74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4.8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4.9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4.99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5.09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5.21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5.31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5.01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5.11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5.15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5.25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5.22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5.32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5.23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5.33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4.82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4.92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4.81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4.91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4.85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4.95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4.97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5.07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4.74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4.83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4.96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5.06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5.17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5.27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5.34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5.45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5.04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5.14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5.08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5.18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5.07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5.17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5.06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5.16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4.67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4.76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4.75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4.84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4.9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5.1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5.2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4.92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5.02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5.11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5.21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5.25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5.36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5.32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5.43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4.85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4.95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5.06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5.16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5.24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5.34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5.34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5.45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4.99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5.09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4.98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5.08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4.96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5.06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4.98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5.08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4.65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4.74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4.8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4.9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4.99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5.09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5.21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5.31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4.85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4.95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5.06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5.16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5.24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5.34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5.34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5.45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4.99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5.09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4.98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5.08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4.85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4.95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5.06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5.16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5.24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5.34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4.85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4.95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5.06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5.16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5.24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5.34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5.34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5.45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4.99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5.09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4.85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4.95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5.06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5.16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5.24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5.34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5.34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5.45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4.99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5.09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4.85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4.95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5.06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5.16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5.24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5.34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5.34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5.45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4.99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5.09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4.98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5.08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4.96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5.06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4.85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4.95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5.06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5.16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5.24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5.34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5.34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5.45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4.99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5.09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4.98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5.08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4.85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4.95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5.06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5.16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5.24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5.34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5.34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5.45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4.99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5.09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4.98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5.08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4.85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4.95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5.06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5.16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5.24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5.34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5.34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5.45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4.99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5.09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4.98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5.08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13.8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14.35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15.5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16.12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16.89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17.57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17.76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18.47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14.88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15.48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14.83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15.42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14.69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15.28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14.81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15.4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12.21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12.7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13.36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13.89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14.95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15.55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16.7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17.37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15.07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15.67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16.2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16.85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16.77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17.44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16.86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17.53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13.52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14.06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13.48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14.02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13.83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14.38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14.73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15.32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12.94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13.46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14.65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15.24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16.35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17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17.71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18.42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15.35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15.96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15.64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16.27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15.57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16.19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15.44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16.06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12.38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12.88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13.01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13.53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14.2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14.77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15.8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16.43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14.35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14.92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15.9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16.54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17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17.68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17.54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18.24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13.8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14.35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15.5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16.12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16.89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17.57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17.76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18.47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14.88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15.48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14.83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15.42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14.69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15.28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14.81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15.4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12.21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12.7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13.36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13.89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14.95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15.55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16.7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17.37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13.8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14.35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15.5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16.12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16.89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17.57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17.76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18.47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14.88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15.48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14.83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15.42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13.8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14.35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15.5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16.12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16.89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17.57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13.8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14.35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15.5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16.12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16.89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17.57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17.76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18.47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14.88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15.48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13.8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14.35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15.5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16.12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16.89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17.57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17.76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18.47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14.88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15.48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13.8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14.35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15.5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16.12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16.89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17.57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17.76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18.47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14.88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15.48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14.83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15.42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14.69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15.28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13.8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14.35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15.5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16.12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16.89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17.57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17.76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18.47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14.88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15.48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14.83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15.42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13.8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14.35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15.5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16.12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16.89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17.57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17.76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18.47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14.88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15.48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14.83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15.42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13.8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14.35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15.5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16.12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16.89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17.57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17.76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18.47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14.88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15.48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14.83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15.42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2.5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2.38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2.93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2.78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3.27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3.11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3.49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3.32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2.77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2.63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2.76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2.62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2.72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2.58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2.75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2.61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2.1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1.99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2.39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2.27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2.79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2.65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3.22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3.06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2.82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2.68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3.1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2.94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3.24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3.08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3.26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3.1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2.43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2.31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2.42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2.51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2.38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2.73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2.59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2.29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2.18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2.71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2.57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3.14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2.98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3.48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3.31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2.89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2.75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2.96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2.81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2.94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2.79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2.91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2.76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2.14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2.03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2.3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2.18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2.6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2.47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2.85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2.64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2.51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3.03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2.88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3.3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3.13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3.43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3.26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2.5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2.38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2.93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2.78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3.27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3.11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3.49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3.32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2.77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2.63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2.76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2.62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2.72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2.58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2.75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2.61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2.1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1.99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2.39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2.27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2.79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2.65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3.22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3.06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2.5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2.38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2.93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2.78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3.27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3.11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3.49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3.32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2.77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2.63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2.76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2.62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2.5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2.38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2.93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2.78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3.27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3.11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2.5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2.38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2.93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2.78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3.27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3.11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3.49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3.32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2.77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2.63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2.5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2.38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2.93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2.78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3.27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3.11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3.49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3.32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2.77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2.63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2.5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2.38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2.93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2.78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3.27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3.11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3.49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3.32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2.77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2.63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2.76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2.62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2.72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2.58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2.5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2.38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2.93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2.78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3.27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3.11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3.49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3.32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2.77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2.63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2.76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2.62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2.5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2.38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2.93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2.78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3.27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3.11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3.49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3.32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2.77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2.63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2.76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2.62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2.5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2.38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2.93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2.78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3.27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3.11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3.49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3.32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2.77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2.63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2.76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2.62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8.1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7.29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9.380000000000001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8.44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10.42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9.380000000000001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11.07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9.960000000000001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8.91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8.02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8.869999999999999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7.98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8.77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7.89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8.85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7.96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6.9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6.21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7.77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6.99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8.960000000000001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8.06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10.27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9.24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9.050000000000001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8.15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9.9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8.91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10.33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9.300000000000001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10.39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9.35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7.89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7.1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7.86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7.07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8.119999999999999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7.31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8.800000000000001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7.92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7.46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6.71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8.74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7.87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10.01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9.01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11.03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9.93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9.26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8.33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9.48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8.529999999999999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9.43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8.49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9.33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8.4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7.03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6.33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7.51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6.76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8.4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7.56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9.6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8.640000000000001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8.51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7.66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9.68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8.710000000000001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10.5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9.449999999999999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10.9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9.81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8.1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7.29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9.380000000000001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8.44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10.42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9.380000000000001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11.07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9.960000000000001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8.91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8.02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8.869999999999999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7.98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8.77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7.89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8.85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7.96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6.9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6.21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7.77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6.99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8.960000000000001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8.06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10.27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9.24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8.1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7.29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9.380000000000001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8.44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10.42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9.380000000000001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11.07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9.960000000000001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8.91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8.02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8.869999999999999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7.98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8.1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7.29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9.380000000000001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8.44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10.42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9.380000000000001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8.1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7.29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9.380000000000001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8.44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10.42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9.380000000000001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11.07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9.960000000000001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8.91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8.02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8.1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7.29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9.380000000000001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8.44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10.42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9.380000000000001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11.07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9.960000000000001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8.91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8.02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8.1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7.29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9.380000000000001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8.44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10.42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9.380000000000001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11.07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9.960000000000001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8.91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8.02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8.869999999999999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7.98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8.77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7.89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8.1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7.29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9.380000000000001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8.44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10.42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9.380000000000001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11.07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9.960000000000001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8.91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8.02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8.869999999999999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7.98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8.1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7.29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9.380000000000001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8.44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10.42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9.380000000000001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11.07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9.960000000000001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8.91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8.02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8.869999999999999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7.98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8.1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7.29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9.380000000000001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8.44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10.42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9.380000000000001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11.07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9.960000000000001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8.91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8.02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8.869999999999999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7.98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10.2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9.18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12.76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11.48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14.84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13.36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16.14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14.53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11.82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10.64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11.74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10.57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11.54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10.39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11.71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10.54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7.81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7.03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9.550000000000001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8.6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11.93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10.74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14.55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13.1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12.1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10.89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13.8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12.42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14.65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13.19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14.79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13.31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9.779999999999999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8.800000000000001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9.720000000000001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8.75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10.25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9.220000000000001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11.59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10.43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8.91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8.02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11.48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10.33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14.02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12.62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16.06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14.45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12.52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11.27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12.96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11.66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12.86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11.57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12.67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8.07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7.26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9.02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8.119999999999999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10.8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9.720000000000001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13.21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11.89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11.02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9.92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13.35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12.02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15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13.5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15.81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14.23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10.2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9.18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12.76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11.48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14.84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13.36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16.14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14.53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11.82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10.64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11.74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10.57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11.54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10.39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11.71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10.54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7.81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7.03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9.550000000000001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8.6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11.93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10.74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14.55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13.1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10.2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9.18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12.76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11.48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14.84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13.36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16.14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14.53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11.82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10.64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11.74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10.57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10.2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9.18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12.76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11.48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14.84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13.36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10.2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9.18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12.76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11.48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14.84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13.36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16.14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14.53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11.82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10.64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10.2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9.18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12.76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11.48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14.84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13.36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16.14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14.53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11.82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10.64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10.2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9.18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12.76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11.48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14.84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13.36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16.14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14.53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11.82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10.64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11.74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10.57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11.54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10.39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10.2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9.18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12.76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11.48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14.84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13.36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16.14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14.53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11.82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10.64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11.74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10.57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10.2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9.18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12.76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11.48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14.84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13.36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16.14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14.53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11.82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10.64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11.74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10.57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10.2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9.18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12.76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11.48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14.84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13.36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16.14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14.53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11.82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10.64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11.74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10.57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4.55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4.19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5.19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4.77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5.71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5.25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6.03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5.55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4.96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4.56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4.93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4.54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4.88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4.49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4.93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4.54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3.95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3.63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4.39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4.04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4.98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4.58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5.64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5.19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5.03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4.63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5.45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5.01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5.66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5.21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5.24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4.45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4.09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4.43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4.08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4.56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4.2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4.9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4.51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4.23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3.89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4.87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4.48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5.51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5.07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6.02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5.54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5.13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4.72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5.24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4.82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5.21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4.79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5.17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4.76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4.02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3.7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4.25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3.91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4.7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4.32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5.3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4.88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4.76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4.38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5.34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4.91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5.75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5.29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5.95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5.47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4.55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4.19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5.19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4.77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5.71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5.25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6.03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5.55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4.96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4.56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4.93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4.54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4.88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4.49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4.93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4.54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3.95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3.63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4.39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4.04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4.98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4.58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5.64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5.19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4.55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4.19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5.19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4.77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5.71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5.25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6.03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5.55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4.96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4.56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4.93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4.54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4.55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4.19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5.19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4.77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5.71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5.25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4.55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4.19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5.19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4.77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5.71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5.25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6.03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5.55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4.96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4.56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4.55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4.19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5.19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4.77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5.71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5.25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6.03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5.55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4.96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4.56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4.55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4.19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5.19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4.77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5.71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5.25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6.03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5.55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4.96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4.56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4.93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4.54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4.88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4.49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4.55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4.19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5.19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4.77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5.71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5.25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6.03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5.55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4.96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4.56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4.93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4.54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4.55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4.19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5.19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4.77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5.71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5.25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6.03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5.55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4.96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4.56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4.93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4.54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4.55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4.19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5.19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4.77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5.71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5.25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6.03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5.55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4.96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4.56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4.93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4.54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3.2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3.36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3.63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3.81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3.97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4.17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4.19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4.4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3.47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3.64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3.46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3.63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3.42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3.59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3.45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3.62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2.8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2.94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3.09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3.24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3.49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3.66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3.92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4.12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3.52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3.7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3.8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3.99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3.94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4.14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3.96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4.16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3.13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3.29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3.12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3.28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3.21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3.37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3.43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3.6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2.99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3.14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3.41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3.58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3.84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4.03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4.18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4.39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3.59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3.77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3.66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3.84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3.64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3.82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3.61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3.79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2.84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2.98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3.15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3.3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3.46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3.7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3.89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3.34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3.51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3.73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3.92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4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4.2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4.13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4.34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3.2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3.36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3.63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3.81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3.97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4.17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4.19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4.4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3.47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3.64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3.46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3.63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3.42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3.59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3.45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3.62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2.8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2.94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3.09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3.24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3.49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3.66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3.92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4.12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3.2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3.36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3.63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3.81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3.97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4.17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4.19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4.4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3.47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3.64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3.46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3.63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3.2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3.36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3.63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3.81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3.97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4.17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3.2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3.36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3.63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3.81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3.97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4.17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4.19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4.4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3.47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3.64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3.2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3.36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3.63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3.81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3.97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4.17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4.19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4.4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3.47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3.64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3.2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3.36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3.63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3.81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3.97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4.17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4.19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4.4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3.47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3.64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3.46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3.63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3.42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3.59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3.2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3.36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3.63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3.81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3.97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4.17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4.19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4.4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3.47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3.64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3.46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3.63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3.2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3.36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3.63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3.81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3.97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4.17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4.19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4.4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3.47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3.64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3.46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3.63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3.2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3.36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3.63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3.81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3.97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4.17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4.19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4.4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3.47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3.64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3.46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3.63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97.5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82.88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129.44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110.02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155.46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132.14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171.72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145.96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117.76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100.1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116.73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99.22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114.22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97.09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116.35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98.90000000000001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67.62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57.48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89.31999999999999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75.92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119.12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101.25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151.85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129.07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121.31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103.11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142.46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121.09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153.14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130.17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154.86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131.63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92.27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78.43000000000001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91.5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77.77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98.06999999999999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83.36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114.92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97.68000000000001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81.40000000000001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69.19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113.51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96.48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145.26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123.47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170.81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145.19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126.47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107.5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132.01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112.21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130.73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111.12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128.33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109.08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70.87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60.24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82.72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70.31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104.97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89.22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135.09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114.83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107.8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91.63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136.91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116.37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157.49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133.87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167.6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142.46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97.5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82.88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129.44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110.02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155.46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132.14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171.72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145.96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117.76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100.1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116.73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99.22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114.22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97.09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116.35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98.90000000000001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67.62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57.48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89.31999999999999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75.92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119.12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101.25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151.85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129.07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97.5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82.88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129.44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110.02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155.46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132.14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171.72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145.96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117.76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100.1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116.73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99.22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97.5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82.88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129.44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110.02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155.46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132.14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97.5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82.88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129.44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110.02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155.46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132.14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171.72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145.96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117.76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100.1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97.5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82.88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129.44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110.02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155.46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132.14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171.72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145.96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117.76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100.1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97.5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82.88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129.44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110.02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155.46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132.14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171.72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145.96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117.76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100.1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116.73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99.22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114.22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97.09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97.5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82.88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129.44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110.02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155.46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132.14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171.72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145.96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117.76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100.1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116.73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99.22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97.5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82.88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129.44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110.02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155.46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132.14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171.72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145.96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117.76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100.1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116.73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99.22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97.5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82.88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129.44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110.02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155.46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132.14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171.72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145.96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117.76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100.1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116.73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99.22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10.8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11.88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12.5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13.75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13.89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15.28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14.76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16.24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11.88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13.07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11.83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13.01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11.69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12.86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11.81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12.99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9.210000000000001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10.13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10.36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11.4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11.95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13.14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13.7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15.07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12.07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13.28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13.2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14.52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13.77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15.15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13.86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15.25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10.52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11.57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10.48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11.53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10.83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11.91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11.73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12.9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9.94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10.93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11.65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12.82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13.35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14.69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14.71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16.18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12.35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13.59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12.64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13.9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12.57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13.83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12.44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13.68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9.380000000000001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10.32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10.01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11.01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11.2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12.32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12.8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14.08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11.35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12.49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12.9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14.19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14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15.4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14.54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15.99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10.8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11.88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12.5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13.75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13.89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15.28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14.76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16.24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11.88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13.07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11.83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13.01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11.69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12.86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11.81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12.99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9.210000000000001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10.13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10.36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11.4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11.95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13.14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13.7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15.07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10.8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11.88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12.5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13.75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13.89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15.28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14.76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16.24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11.88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13.07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11.83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13.01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10.8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11.88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12.5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13.75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13.89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15.28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10.8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11.88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12.5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13.75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13.89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15.28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14.76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16.24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11.88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13.07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10.8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11.88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12.5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13.75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13.89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15.28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14.76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16.24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11.88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13.07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10.8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11.88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12.5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13.75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13.89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15.28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14.76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16.24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11.88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13.07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11.83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13.01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11.69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12.86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10.8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11.88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12.5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13.75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13.89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15.28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14.76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16.24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11.88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13.07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11.83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13.01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10.8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11.88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12.5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13.75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13.89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15.28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14.76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16.24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11.88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13.07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11.83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13.01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10.8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11.88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12.5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13.75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13.89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15.28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14.76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16.24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11.88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13.07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11.83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13.01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0.93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0.93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1.03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1.03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1.12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1.12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1.17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1.17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0.99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0.99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0.99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0.99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0.98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0.98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0.99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0.99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0.83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0.83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0.9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0.9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1.11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1.11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1.07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1.07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1.11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1.11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1.12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1.12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0.91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0.91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0.91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0.91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0.93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0.93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0.98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0.98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0.87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0.87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0.98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0.98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1.08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1.08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1.17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1.17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1.02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1.02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1.04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1.04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1.04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1.04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1.03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1.03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0.84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0.84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0.88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0.88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0.95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0.95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1.05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1.05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0.96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0.96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1.06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1.06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1.12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1.12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1.16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1.16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0.93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0.93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1.03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1.03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1.12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1.12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1.17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1.17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0.99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0.99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0.99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0.99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0.98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0.98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0.99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0.99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0.83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0.83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0.9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0.9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1.11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1.11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0.93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0.93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1.03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1.03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1.12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1.12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1.17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1.17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0.99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0.99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0.99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0.99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0.93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0.93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1.03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1.03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1.12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1.12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0.93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0.93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1.03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1.03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1.12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1.12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1.17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1.17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0.99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0.99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0.93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0.93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1.03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1.03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1.12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1.12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1.17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1.17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0.99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0.99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0.93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0.93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1.03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1.03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1.12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1.12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1.17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1.17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0.99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0.99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0.99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0.99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0.98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0.98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0.93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0.93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1.03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1.03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1.12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1.12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1.17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1.17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0.99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0.99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0.99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0.99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0.93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0.93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1.03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1.03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1.12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1.12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1.17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1.17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0.99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0.99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0.99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0.99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0.93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0.93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1.03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1.03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1.12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1.12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1.17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1.17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0.99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0.99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0.99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0.99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13.5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13.5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19.89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19.89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25.09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25.09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28.34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28.34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17.55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17.55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17.35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17.35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16.84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16.84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17.27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17.27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7.52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7.52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11.86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11.86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17.82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17.82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24.37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24.37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18.26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18.26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22.49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22.49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24.63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24.63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24.97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24.97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12.45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12.45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12.3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12.3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13.61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13.61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16.98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16.98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10.28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10.28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16.7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16.7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23.05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23.05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28.16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28.16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19.29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19.29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20.4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20.4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20.15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20.15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19.67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19.67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8.17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8.17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10.54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10.54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14.99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14.99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21.02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21.02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15.56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15.56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21.38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21.38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25.5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25.5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27.52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27.52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13.5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13.5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19.89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19.89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25.09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25.09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28.34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28.34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17.55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17.55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17.35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17.35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16.84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16.84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17.27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17.27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7.52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7.52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11.86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11.86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17.82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17.82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24.37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24.37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13.5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13.5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19.89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19.89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25.09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25.09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28.34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28.34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17.55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17.55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17.35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17.35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13.5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13.5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19.89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19.89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25.09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25.09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13.5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13.5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19.89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19.89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25.09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25.09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28.34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28.34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17.55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17.55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13.5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13.5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19.89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19.89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25.09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25.09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28.34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28.34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17.55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17.55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13.5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13.5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19.89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19.89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25.09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25.09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28.34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28.34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17.55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17.55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17.35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17.35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16.84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16.84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13.5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13.5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19.89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19.89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25.09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25.09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28.34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28.34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17.55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17.55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17.35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17.35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13.5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13.5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19.89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19.89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25.09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25.09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28.34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28.34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17.55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17.55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17.35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17.35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13.5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13.5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19.89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19.89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25.09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25.09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28.34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28.34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17.55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17.55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17.35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17.35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0.87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0.87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0.92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0.92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0.95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0.95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0.85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0.85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0.84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0.84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0.84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0.84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0.84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0.84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0.75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0.75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0.79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0.79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0.85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0.85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0.91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0.91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0.85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0.85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0.89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0.89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0.92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0.92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0.92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0.92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0.79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0.79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0.79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0.79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0.8100000000000001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0.8100000000000001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0.84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0.84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0.77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0.77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0.84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0.84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0.95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0.95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0.86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0.86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0.87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0.87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0.87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0.87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0.87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0.87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0.75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0.75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0.78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0.78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0.82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0.82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0.88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0.88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0.83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0.83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0.88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0.88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0.92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0.92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0.95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0.95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0.87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0.87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0.92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0.92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0.95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0.95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0.85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0.85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0.84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0.84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0.84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0.84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0.84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0.84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0.75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0.75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0.79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0.79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0.85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0.85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0.91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0.91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0.87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0.87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0.92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0.92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0.95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0.95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0.85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0.85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0.84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0.84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0.87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0.87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0.92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0.92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0.87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0.87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0.92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0.92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0.95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0.95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0.85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0.85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0.87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0.87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0.92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0.92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0.95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0.95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0.85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0.85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0.87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0.87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0.92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0.92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0.95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0.95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0.85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0.85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0.84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0.84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0.84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0.84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0.87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0.87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0.92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0.92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0.95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0.95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0.85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0.85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0.84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0.84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0.87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0.87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0.92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0.92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0.95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0.95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0.85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0.85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0.84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0.84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0.87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0.87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0.92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0.92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0.95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0.95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0.85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0.85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0.84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0.84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4.85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4.95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5.06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5.16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5.24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5.34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5.34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5.45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4.99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5.09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4.98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5.08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4.96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5.06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4.98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5.08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4.65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4.74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4.8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4.9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4.99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5.09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5.21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5.31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5.01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5.11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5.15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5.25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5.22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5.32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5.23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5.33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4.82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4.92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4.81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4.91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4.85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4.95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4.97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5.07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4.74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4.83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4.96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5.06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5.17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5.27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5.34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5.45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5.04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5.14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5.08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5.18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5.07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5.17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5.06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5.16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4.67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4.76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4.75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4.84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4.9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5.1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5.2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4.92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5.02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5.11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5.21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5.25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5.36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5.32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5.43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4.85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4.95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5.06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5.16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5.24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5.34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5.34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5.45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4.99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5.09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4.98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5.08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4.96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5.06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4.98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5.08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4.65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4.74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4.8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4.9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4.99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5.09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5.21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5.31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4.85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4.95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5.06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5.16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5.24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5.34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5.34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5.45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4.99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5.09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4.98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5.08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4.85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4.95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5.06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5.16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5.24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5.34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4.85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4.95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5.06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5.16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5.24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5.34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5.34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5.45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4.99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5.09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4.85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4.95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5.06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5.16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5.24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5.34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5.34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5.45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4.99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5.09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4.85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4.95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5.06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5.16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5.24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5.34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5.34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5.45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4.99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5.09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4.98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5.08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4.96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5.06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4.85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4.95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5.06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5.16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5.24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5.34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5.34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5.45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4.99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5.09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4.98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5.08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4.85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4.95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5.06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5.16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5.24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5.34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5.34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5.45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4.99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5.09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4.98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5.08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4.85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4.95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5.06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5.16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5.24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5.34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5.34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5.45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4.99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5.09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4.98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5.08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13.8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14.35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15.5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16.12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16.89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17.57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17.76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18.47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14.88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15.48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14.83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15.42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14.69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15.28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14.81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15.4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12.21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12.7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13.36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13.89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14.95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15.55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16.7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17.37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15.07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15.67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16.2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16.85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16.77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17.44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16.86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17.53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13.52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14.06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13.48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14.02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13.83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14.38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14.73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15.32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12.94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13.46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14.65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15.24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16.35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17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17.71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18.42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15.35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15.96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15.64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16.27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15.57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16.19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15.44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16.06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12.38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12.88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13.01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13.53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14.2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14.77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15.8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16.43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14.35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14.92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15.9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16.54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17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17.68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17.54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18.24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13.8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14.35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15.5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16.12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16.89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17.57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17.76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18.47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14.88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15.48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14.83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15.42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14.69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15.28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14.81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15.4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12.21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12.7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13.36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13.89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14.95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15.55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16.7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17.37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13.8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14.35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15.5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16.12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16.89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17.57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17.76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18.47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14.88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15.48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14.83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15.42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13.8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14.35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15.5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16.12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16.89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17.57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13.8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14.35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15.5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16.12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16.89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17.57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17.76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18.47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14.88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15.48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13.8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14.35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15.5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16.12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16.89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17.57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17.76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18.47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14.88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15.48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13.8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14.35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15.5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16.12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16.89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17.57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17.76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18.47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14.88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15.48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14.83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15.42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14.69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15.28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13.8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14.35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15.5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16.12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16.89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17.57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17.76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18.47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14.88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15.48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14.83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15.42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13.8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14.35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15.5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16.12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16.89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17.57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17.76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18.47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14.88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15.48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14.83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15.42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13.8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14.35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15.5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16.12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16.89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17.57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17.76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18.47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14.88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15.48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14.83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15.42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2.5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2.38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2.93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2.78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3.27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3.11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3.49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3.32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2.77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2.63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2.76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2.62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2.72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2.58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2.75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2.61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2.1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1.99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2.39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2.27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2.79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2.65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3.22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3.06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2.82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2.68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3.1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2.94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3.24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3.08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3.26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3.1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2.43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2.31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2.42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2.51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2.38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2.73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2.59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2.29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2.18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2.71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2.57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3.14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2.98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3.48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3.31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2.89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2.75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2.96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2.81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2.94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2.79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2.91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2.76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2.14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2.03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2.3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2.18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2.6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2.47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2.85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2.64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2.51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3.03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2.88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3.3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3.13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3.43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3.26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2.5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2.38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2.93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2.78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3.27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3.11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3.49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3.32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2.77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2.63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2.76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2.62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2.72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2.58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2.75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2.61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2.1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1.99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2.39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2.27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2.79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2.65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3.22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3.06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2.5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2.38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2.93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2.78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3.27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3.11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3.49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3.32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2.77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2.63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2.76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2.62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2.5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2.38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2.93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2.78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3.27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3.11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2.5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2.38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2.93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2.78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3.27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3.11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3.49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3.32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2.77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2.63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2.5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2.38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2.93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2.78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3.27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3.11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3.49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3.32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2.77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2.63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2.5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2.38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2.93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2.78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3.27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3.11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3.49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3.32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2.77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2.63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2.76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2.62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2.72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2.58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2.5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2.38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2.93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2.78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3.27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3.11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3.49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3.32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2.77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2.63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2.76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2.62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2.5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2.38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2.93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2.78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3.27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3.11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3.49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3.32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2.77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2.63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2.76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2.62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2.5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2.38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2.93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2.78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3.27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3.11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3.49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3.32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2.77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2.63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2.76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Grupo_Rendimiento</t>
        </is>
      </c>
      <c r="B1" s="3" t="inlineStr">
        <is>
          <t>Grupo_Riesgo</t>
        </is>
      </c>
      <c r="C1" s="3" t="inlineStr">
        <is>
          <t>Grupo_Composicion</t>
        </is>
      </c>
      <c r="D1" s="3" t="inlineStr">
        <is>
          <t>Grupo_Costes</t>
        </is>
      </c>
      <c r="E1" s="3" t="inlineStr">
        <is>
          <t>Grupo_Liquidez</t>
        </is>
      </c>
      <c r="F1" s="3" t="inlineStr">
        <is>
          <t>Grupo_Valoracion</t>
        </is>
      </c>
      <c r="G1" s="3" t="inlineStr">
        <is>
          <t>Cat_Mensual</t>
        </is>
      </c>
      <c r="H1" s="3" t="inlineStr">
        <is>
          <t>Cat_Trimestral</t>
        </is>
      </c>
      <c r="I1" s="3" t="inlineStr">
        <is>
          <t>Cat_Semestral</t>
        </is>
      </c>
      <c r="J1" s="3" t="inlineStr">
        <is>
          <t>Cat_Anual</t>
        </is>
      </c>
      <c r="K1" s="3" t="inlineStr">
        <is>
          <t>Cat_Activo</t>
        </is>
      </c>
      <c r="L1" s="3" t="inlineStr">
        <is>
          <t>Cat_Geografia</t>
        </is>
      </c>
      <c r="M1" s="3" t="inlineStr">
        <is>
          <t>Cat_Industria</t>
        </is>
      </c>
      <c r="N1" s="3" t="inlineStr">
        <is>
          <t>Cat_Sector</t>
        </is>
      </c>
      <c r="O1" s="3" t="inlineStr">
        <is>
          <t>Cat_Divisa</t>
        </is>
      </c>
      <c r="P1" s="3" t="inlineStr">
        <is>
          <t>Cat_Rating</t>
        </is>
      </c>
      <c r="R1" s="3" t="inlineStr">
        <is>
          <t>Periodos</t>
        </is>
      </c>
      <c r="S1" s="3" t="inlineStr">
        <is>
          <t>DimTiempo</t>
        </is>
      </c>
      <c r="T1" t="inlineStr">
        <is>
          <t>N_Men</t>
        </is>
      </c>
      <c r="U1" t="inlineStr">
        <is>
          <t>N_Tri</t>
        </is>
      </c>
      <c r="V1" t="inlineStr">
        <is>
          <t>N_Sem</t>
        </is>
      </c>
      <c r="W1" t="inlineStr">
        <is>
          <t>N_Anu</t>
        </is>
      </c>
    </row>
    <row r="2">
      <c r="A2" t="inlineStr">
        <is>
          <t>Rentabilidad</t>
        </is>
      </c>
      <c r="B2" t="inlineStr">
        <is>
          <t>Duración</t>
        </is>
      </c>
      <c r="C2" t="inlineStr">
        <is>
          <t>Peso</t>
        </is>
      </c>
      <c r="D2" t="inlineStr">
        <is>
          <t>TER</t>
        </is>
      </c>
      <c r="E2" t="inlineStr">
        <is>
          <t>Liquidez</t>
        </is>
      </c>
      <c r="F2" t="inlineStr">
        <is>
          <t>PER</t>
        </is>
      </c>
      <c r="G2" t="inlineStr">
        <is>
          <t>2023-07</t>
        </is>
      </c>
      <c r="H2" t="inlineStr">
        <is>
          <t>2023-T3</t>
        </is>
      </c>
      <c r="I2" t="inlineStr">
        <is>
          <t>2023-S2</t>
        </is>
      </c>
      <c r="J2" t="inlineStr">
        <is>
          <t>2024</t>
        </is>
      </c>
      <c r="K2" t="inlineStr">
        <is>
          <t>Deuda Pública</t>
        </is>
      </c>
      <c r="L2" t="inlineStr">
        <is>
          <t>Europa</t>
        </is>
      </c>
      <c r="M2" t="inlineStr">
        <is>
          <t>Financiero</t>
        </is>
      </c>
      <c r="N2" t="inlineStr">
        <is>
          <t>Financiero</t>
        </is>
      </c>
      <c r="O2" t="inlineStr">
        <is>
          <t>EUR</t>
        </is>
      </c>
      <c r="P2" t="inlineStr">
        <is>
          <t>AAA</t>
        </is>
      </c>
      <c r="R2" t="inlineStr">
        <is>
          <t>MTD</t>
        </is>
      </c>
      <c r="S2" t="inlineStr">
        <is>
          <t>Mensual</t>
        </is>
      </c>
      <c r="T2" t="n">
        <v>1</v>
      </c>
      <c r="U2" t="n">
        <v>1</v>
      </c>
      <c r="V2" t="n">
        <v>1</v>
      </c>
      <c r="W2" t="n">
        <v>1</v>
      </c>
    </row>
    <row r="3">
      <c r="A3" t="inlineStr">
        <is>
          <t>Rentab. acum.</t>
        </is>
      </c>
      <c r="B3" t="inlineStr">
        <is>
          <t>TIR</t>
        </is>
      </c>
      <c r="F3" t="inlineStr">
        <is>
          <t>DividendYield</t>
        </is>
      </c>
      <c r="G3" t="inlineStr">
        <is>
          <t>2023-08</t>
        </is>
      </c>
      <c r="H3" t="inlineStr">
        <is>
          <t>2023-T4</t>
        </is>
      </c>
      <c r="I3" t="inlineStr">
        <is>
          <t>2024-S1</t>
        </is>
      </c>
      <c r="J3" t="inlineStr">
        <is>
          <t>2025</t>
        </is>
      </c>
      <c r="K3" t="inlineStr">
        <is>
          <t>Deuda Privada</t>
        </is>
      </c>
      <c r="L3" t="inlineStr">
        <is>
          <t>Norteamérica</t>
        </is>
      </c>
      <c r="M3" t="inlineStr">
        <is>
          <t>Tecnología</t>
        </is>
      </c>
      <c r="N3" t="inlineStr">
        <is>
          <t>Industrial</t>
        </is>
      </c>
      <c r="O3" t="inlineStr">
        <is>
          <t>USD</t>
        </is>
      </c>
      <c r="P3" t="inlineStr">
        <is>
          <t>AA</t>
        </is>
      </c>
      <c r="R3" t="inlineStr">
        <is>
          <t>YTD</t>
        </is>
      </c>
      <c r="S3" t="inlineStr">
        <is>
          <t>Trimestral</t>
        </is>
      </c>
      <c r="T3" t="n">
        <v>6</v>
      </c>
      <c r="U3" t="n">
        <v>2</v>
      </c>
      <c r="V3" t="n">
        <v>1</v>
      </c>
      <c r="W3" t="n">
        <v>1</v>
      </c>
    </row>
    <row r="4">
      <c r="B4" t="inlineStr">
        <is>
          <t>Spread</t>
        </is>
      </c>
      <c r="G4" t="inlineStr">
        <is>
          <t>2023-09</t>
        </is>
      </c>
      <c r="H4" t="inlineStr">
        <is>
          <t>2024-T1</t>
        </is>
      </c>
      <c r="I4" t="inlineStr">
        <is>
          <t>2024-S2</t>
        </is>
      </c>
      <c r="J4" t="inlineStr">
        <is>
          <t>2026</t>
        </is>
      </c>
      <c r="K4" t="inlineStr">
        <is>
          <t>Acciones</t>
        </is>
      </c>
      <c r="L4" t="inlineStr">
        <is>
          <t>Asia-Pacífico</t>
        </is>
      </c>
      <c r="M4" t="inlineStr">
        <is>
          <t>Salud</t>
        </is>
      </c>
      <c r="N4" t="inlineStr">
        <is>
          <t>Tecnología</t>
        </is>
      </c>
      <c r="O4" t="inlineStr">
        <is>
          <t>GBP</t>
        </is>
      </c>
      <c r="P4" t="inlineStr">
        <is>
          <t>A</t>
        </is>
      </c>
      <c r="R4" t="inlineStr">
        <is>
          <t>3M</t>
        </is>
      </c>
      <c r="S4" t="inlineStr">
        <is>
          <t>Semestral</t>
        </is>
      </c>
      <c r="T4" t="n">
        <v>3</v>
      </c>
      <c r="U4" t="n">
        <v>1</v>
      </c>
      <c r="V4" t="n">
        <v>1</v>
      </c>
      <c r="W4" t="n">
        <v>1</v>
      </c>
    </row>
    <row r="5">
      <c r="B5" t="inlineStr">
        <is>
          <t>Volatilidad</t>
        </is>
      </c>
      <c r="G5" t="inlineStr">
        <is>
          <t>2023-10</t>
        </is>
      </c>
      <c r="H5" t="inlineStr">
        <is>
          <t>2024-T2</t>
        </is>
      </c>
      <c r="I5" t="inlineStr">
        <is>
          <t>2025-S1</t>
        </is>
      </c>
      <c r="K5" t="inlineStr">
        <is>
          <t>Liquidez</t>
        </is>
      </c>
      <c r="L5" t="inlineStr">
        <is>
          <t>Emergentes</t>
        </is>
      </c>
      <c r="M5" t="inlineStr">
        <is>
          <t>Energía</t>
        </is>
      </c>
      <c r="N5" t="inlineStr">
        <is>
          <t>Consumo</t>
        </is>
      </c>
      <c r="O5" t="inlineStr">
        <is>
          <t>JPY</t>
        </is>
      </c>
      <c r="P5" t="inlineStr">
        <is>
          <t>BBB</t>
        </is>
      </c>
      <c r="R5" t="inlineStr">
        <is>
          <t>6M</t>
        </is>
      </c>
      <c r="S5" t="inlineStr">
        <is>
          <t>Anual</t>
        </is>
      </c>
      <c r="T5" t="n">
        <v>6</v>
      </c>
      <c r="U5" t="n">
        <v>2</v>
      </c>
      <c r="V5" t="n">
        <v>1</v>
      </c>
      <c r="W5" t="n">
        <v>1</v>
      </c>
    </row>
    <row r="6">
      <c r="B6" t="inlineStr">
        <is>
          <t>Beta</t>
        </is>
      </c>
      <c r="G6" t="inlineStr">
        <is>
          <t>2023-11</t>
        </is>
      </c>
      <c r="H6" t="inlineStr">
        <is>
          <t>2024-T3</t>
        </is>
      </c>
      <c r="I6" t="inlineStr">
        <is>
          <t>2025-S2</t>
        </is>
      </c>
      <c r="K6" t="inlineStr">
        <is>
          <t>Derivados</t>
        </is>
      </c>
      <c r="L6" t="inlineStr">
        <is>
          <t>Latam</t>
        </is>
      </c>
      <c r="M6" t="inlineStr">
        <is>
          <t>Consumo</t>
        </is>
      </c>
      <c r="N6" t="inlineStr">
        <is>
          <t>Energía</t>
        </is>
      </c>
      <c r="O6" t="inlineStr">
        <is>
          <t>CHF</t>
        </is>
      </c>
      <c r="P6" t="inlineStr">
        <is>
          <t>BB</t>
        </is>
      </c>
      <c r="R6" t="inlineStr">
        <is>
          <t>1A</t>
        </is>
      </c>
      <c r="T6" t="n">
        <v>12</v>
      </c>
      <c r="U6" t="n">
        <v>4</v>
      </c>
      <c r="V6" t="n">
        <v>2</v>
      </c>
      <c r="W6" t="n">
        <v>1</v>
      </c>
    </row>
    <row r="7">
      <c r="G7" t="inlineStr">
        <is>
          <t>2023-12</t>
        </is>
      </c>
      <c r="H7" t="inlineStr">
        <is>
          <t>2024-T4</t>
        </is>
      </c>
      <c r="I7" t="inlineStr">
        <is>
          <t>2026-S1</t>
        </is>
      </c>
      <c r="M7" t="inlineStr">
        <is>
          <t>Industrial</t>
        </is>
      </c>
      <c r="N7" t="inlineStr">
        <is>
          <t>Salud</t>
        </is>
      </c>
      <c r="O7" t="inlineStr">
        <is>
          <t>Otras</t>
        </is>
      </c>
      <c r="P7" t="inlineStr">
        <is>
          <t>B</t>
        </is>
      </c>
      <c r="R7" t="inlineStr">
        <is>
          <t>3A</t>
        </is>
      </c>
      <c r="T7" t="n">
        <v>36</v>
      </c>
      <c r="U7" t="n">
        <v>12</v>
      </c>
      <c r="V7" t="n">
        <v>6</v>
      </c>
      <c r="W7" t="n">
        <v>3</v>
      </c>
    </row>
    <row r="8">
      <c r="G8" t="inlineStr">
        <is>
          <t>2024-01</t>
        </is>
      </c>
      <c r="H8" t="inlineStr">
        <is>
          <t>2025-T1</t>
        </is>
      </c>
      <c r="M8" t="inlineStr">
        <is>
          <t>Utilities</t>
        </is>
      </c>
    </row>
    <row r="9">
      <c r="G9" t="inlineStr">
        <is>
          <t>2024-02</t>
        </is>
      </c>
      <c r="H9" t="inlineStr">
        <is>
          <t>2025-T2</t>
        </is>
      </c>
    </row>
    <row r="10">
      <c r="G10" t="inlineStr">
        <is>
          <t>2024-03</t>
        </is>
      </c>
      <c r="H10" t="inlineStr">
        <is>
          <t>2025-T3</t>
        </is>
      </c>
    </row>
    <row r="11">
      <c r="G11" t="inlineStr">
        <is>
          <t>2024-04</t>
        </is>
      </c>
      <c r="H11" t="inlineStr">
        <is>
          <t>2025-T4</t>
        </is>
      </c>
    </row>
    <row r="12">
      <c r="G12" t="inlineStr">
        <is>
          <t>2024-05</t>
        </is>
      </c>
      <c r="H12" t="inlineStr">
        <is>
          <t>2026-T1</t>
        </is>
      </c>
    </row>
    <row r="13">
      <c r="G13" t="inlineStr">
        <is>
          <t>2024-06</t>
        </is>
      </c>
      <c r="H13" t="inlineStr">
        <is>
          <t>2026-T2</t>
        </is>
      </c>
    </row>
    <row r="14">
      <c r="G14" t="inlineStr">
        <is>
          <t>2024-07</t>
        </is>
      </c>
    </row>
    <row r="15">
      <c r="G15" t="inlineStr">
        <is>
          <t>2024-08</t>
        </is>
      </c>
    </row>
    <row r="16">
      <c r="G16" t="inlineStr">
        <is>
          <t>2024-09</t>
        </is>
      </c>
    </row>
    <row r="17">
      <c r="G17" t="inlineStr">
        <is>
          <t>2024-10</t>
        </is>
      </c>
    </row>
    <row r="18">
      <c r="G18" t="inlineStr">
        <is>
          <t>2024-11</t>
        </is>
      </c>
    </row>
    <row r="19">
      <c r="G19" t="inlineStr">
        <is>
          <t>2024-12</t>
        </is>
      </c>
    </row>
    <row r="20">
      <c r="G20" t="inlineStr">
        <is>
          <t>2025-01</t>
        </is>
      </c>
    </row>
    <row r="21">
      <c r="G21" t="inlineStr">
        <is>
          <t>2025-02</t>
        </is>
      </c>
    </row>
    <row r="22">
      <c r="G22" t="inlineStr">
        <is>
          <t>2025-03</t>
        </is>
      </c>
    </row>
    <row r="23">
      <c r="G23" t="inlineStr">
        <is>
          <t>2025-04</t>
        </is>
      </c>
    </row>
    <row r="24">
      <c r="G24" t="inlineStr">
        <is>
          <t>2025-05</t>
        </is>
      </c>
    </row>
    <row r="25">
      <c r="G25" t="inlineStr">
        <is>
          <t>2025-06</t>
        </is>
      </c>
    </row>
    <row r="26">
      <c r="G26" t="inlineStr">
        <is>
          <t>2025-07</t>
        </is>
      </c>
    </row>
    <row r="27">
      <c r="G27" t="inlineStr">
        <is>
          <t>2025-08</t>
        </is>
      </c>
    </row>
    <row r="28">
      <c r="G28" t="inlineStr">
        <is>
          <t>2025-09</t>
        </is>
      </c>
    </row>
    <row r="29">
      <c r="G29" t="inlineStr">
        <is>
          <t>2025-10</t>
        </is>
      </c>
    </row>
    <row r="30">
      <c r="G30" t="inlineStr">
        <is>
          <t>2025-11</t>
        </is>
      </c>
    </row>
    <row r="31">
      <c r="G31" t="inlineStr">
        <is>
          <t>2025-12</t>
        </is>
      </c>
    </row>
    <row r="32">
      <c r="G32" t="inlineStr">
        <is>
          <t>2026-01</t>
        </is>
      </c>
    </row>
    <row r="33">
      <c r="G33" t="inlineStr">
        <is>
          <t>2026-02</t>
        </is>
      </c>
    </row>
    <row r="34">
      <c r="G34" t="inlineStr">
        <is>
          <t>2026-03</t>
        </is>
      </c>
    </row>
    <row r="35">
      <c r="G35" t="inlineStr">
        <is>
          <t>2026-04</t>
        </is>
      </c>
    </row>
    <row r="36">
      <c r="G36" t="inlineStr">
        <is>
          <t>2026-05</t>
        </is>
      </c>
    </row>
    <row r="37">
      <c r="G37" t="inlineStr">
        <is>
          <t>2026-06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2026-06-30T11:57:40Z</dcterms:created>
  <dcterms:modified xsi:type="dcterms:W3CDTF">2026-06-30T11:57:40Z</dcterms:modified>
</cp:coreProperties>
</file>